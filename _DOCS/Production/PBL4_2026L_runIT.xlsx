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krolp\Documents\runIT\_HARDWARE\Project Outputs for PBL4_2026L_runIT\"/>
    </mc:Choice>
  </mc:AlternateContent>
  <xr:revisionPtr revIDLastSave="0" documentId="8_{1D4CC7E9-1037-40A2-8FC6-EA541A7420ED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BOM Re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79" i="1" l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K80" i="1"/>
  <c r="L7" i="1"/>
  <c r="L13" i="1" s="1"/>
  <c r="L12" i="1" l="1"/>
  <c r="L80" i="1" s="1"/>
</calcChain>
</file>

<file path=xl/sharedStrings.xml><?xml version="1.0" encoding="utf-8"?>
<sst xmlns="http://schemas.openxmlformats.org/spreadsheetml/2006/main" count="336" uniqueCount="229">
  <si>
    <t>Bill of Materials</t>
  </si>
  <si>
    <t>Ilość:</t>
  </si>
  <si>
    <t>Razem:</t>
  </si>
  <si>
    <t>Projekt:</t>
  </si>
  <si>
    <t>Źródło danych:</t>
  </si>
  <si>
    <t>Utworzono:</t>
  </si>
  <si>
    <t>Przedmiot:</t>
  </si>
  <si>
    <t>PBL4</t>
  </si>
  <si>
    <t>Do zamówienia</t>
  </si>
  <si>
    <t>Opracował:</t>
  </si>
  <si>
    <t>Bill of Materials for PCB Document [PCB.PcbDoc]</t>
  </si>
  <si>
    <t>PCB.PcbDoc</t>
  </si>
  <si>
    <t>&lt;Parameter ProjectTitle not found&gt;</t>
  </si>
  <si>
    <t>10.04.2026</t>
  </si>
  <si>
    <t>16:36</t>
  </si>
  <si>
    <t>&lt;Parameter Author not found&gt;</t>
  </si>
  <si>
    <t>Comment</t>
  </si>
  <si>
    <t>1k</t>
  </si>
  <si>
    <t>1mH</t>
  </si>
  <si>
    <t>1uF 25V</t>
  </si>
  <si>
    <t>1uF_10V</t>
  </si>
  <si>
    <t>3k09</t>
  </si>
  <si>
    <t>3n3 25V</t>
  </si>
  <si>
    <t>4u7 16V</t>
  </si>
  <si>
    <t>5k1</t>
  </si>
  <si>
    <t>10k</t>
  </si>
  <si>
    <t>10nF 35V</t>
  </si>
  <si>
    <t>10u 10V</t>
  </si>
  <si>
    <t>10u 25V</t>
  </si>
  <si>
    <t>22n 25V</t>
  </si>
  <si>
    <t>22u 10V</t>
  </si>
  <si>
    <t>22u 25V</t>
  </si>
  <si>
    <t>27k4</t>
  </si>
  <si>
    <t>27R</t>
  </si>
  <si>
    <t>35PX470MEFC10X12.5</t>
  </si>
  <si>
    <t>48k7</t>
  </si>
  <si>
    <t>51k</t>
  </si>
  <si>
    <t>100k</t>
  </si>
  <si>
    <t>100n 10V</t>
  </si>
  <si>
    <t>100n 25V</t>
  </si>
  <si>
    <t>100R</t>
  </si>
  <si>
    <t>120pF 10V</t>
  </si>
  <si>
    <t>220nF 25V</t>
  </si>
  <si>
    <t>470k</t>
  </si>
  <si>
    <t>604R</t>
  </si>
  <si>
    <t>0686F7000-01</t>
  </si>
  <si>
    <t>A768EB107M1ELAS036</t>
  </si>
  <si>
    <t>ADS7128IRTER</t>
  </si>
  <si>
    <t>AP33772SDKZ-13</t>
  </si>
  <si>
    <t>CRF0805-FZ-R005ELF</t>
  </si>
  <si>
    <t>CUS520,H3F</t>
  </si>
  <si>
    <t>DMG7430LFG</t>
  </si>
  <si>
    <t>DR74-2R2-R</t>
  </si>
  <si>
    <t>DRV8962DDWR</t>
  </si>
  <si>
    <t>ESP32-S3-WROOM-1U-N16R8</t>
  </si>
  <si>
    <t>Goldpin</t>
  </si>
  <si>
    <t>IC_dac53202_DAC53202RTER</t>
  </si>
  <si>
    <t>IC_lm73100_LM73100RPWR</t>
  </si>
  <si>
    <t>IC_pca9685_PCA9685BS</t>
  </si>
  <si>
    <t>INA3221AIRGVR</t>
  </si>
  <si>
    <t>JUMPER</t>
  </si>
  <si>
    <t>MH2029-300T</t>
  </si>
  <si>
    <t>MSMP20A-M3/89A</t>
  </si>
  <si>
    <t>PA1206FRE070R01Z</t>
  </si>
  <si>
    <t>PTS526 SM15 SMTR2 LFS</t>
  </si>
  <si>
    <t>R_169k</t>
  </si>
  <si>
    <t>RED</t>
  </si>
  <si>
    <t>SD110-08</t>
  </si>
  <si>
    <t>SL12-E3/61T</t>
  </si>
  <si>
    <t>SRP1265A-4R7M</t>
  </si>
  <si>
    <t>TB001-500-02BE</t>
  </si>
  <si>
    <t>TCA6424ARGJR</t>
  </si>
  <si>
    <t>TPD2E2U06DCKR</t>
  </si>
  <si>
    <t>TPS55289RYQR</t>
  </si>
  <si>
    <t>TPS56837RPAR</t>
  </si>
  <si>
    <t>TPS259474LRPWR</t>
  </si>
  <si>
    <t>USB4105-GF-A-120.</t>
  </si>
  <si>
    <t>USBLC6-4SC6</t>
  </si>
  <si>
    <t>XT60U-M</t>
  </si>
  <si>
    <t>Casing</t>
  </si>
  <si>
    <t>0603</t>
  </si>
  <si>
    <t>1007</t>
  </si>
  <si>
    <t>0805</t>
  </si>
  <si>
    <t>1206</t>
  </si>
  <si>
    <t/>
  </si>
  <si>
    <t>SOD-323</t>
  </si>
  <si>
    <t>8-PowerVDFN</t>
  </si>
  <si>
    <t>SMA (DO-214AC)</t>
  </si>
  <si>
    <t>Manufacturer</t>
  </si>
  <si>
    <t>Rubycon</t>
  </si>
  <si>
    <t>Bel fuse Inc.</t>
  </si>
  <si>
    <t>KEMET</t>
  </si>
  <si>
    <t>Diodes Inc</t>
  </si>
  <si>
    <t>Diodes Incorporated</t>
  </si>
  <si>
    <t>EATON ELECTRONICS</t>
  </si>
  <si>
    <t>Texas Instruments</t>
  </si>
  <si>
    <t>Bourns Inc.</t>
  </si>
  <si>
    <t>C&amp;K Components</t>
  </si>
  <si>
    <t>Same Sky</t>
  </si>
  <si>
    <t>Global Connector Technology</t>
  </si>
  <si>
    <t>[NoParam], STMicroelectronics</t>
  </si>
  <si>
    <t>AMASS</t>
  </si>
  <si>
    <t>Designator</t>
  </si>
  <si>
    <t>R4, R5, R12, R51, R52</t>
  </si>
  <si>
    <t>L2, L3</t>
  </si>
  <si>
    <t>C10A, C10B, C13A, C13B, C33A, C33B, C54A, C54B, C57A, C57B</t>
  </si>
  <si>
    <t>C3, C31, C35A, C35B, C38A, C38B, C39, C47, C52, C53, C60, C61, C62, C66, C68, C69</t>
  </si>
  <si>
    <t>R24A, R24B, R25A, R25B, R26A, R26B, R27A, R27B, R46, R47</t>
  </si>
  <si>
    <t>C55A, C55B, C58A, C58B</t>
  </si>
  <si>
    <t>C18A, C18B, C*2A, C*2B</t>
  </si>
  <si>
    <t>R48, R49, R_CC1, RCC1</t>
  </si>
  <si>
    <t>R8A, R8B, R9A, R9B</t>
  </si>
  <si>
    <t>R62, R63, R64, R65, R66, R67, R68, R69</t>
  </si>
  <si>
    <t>R3</t>
  </si>
  <si>
    <t>R6, R11, R13, R28A, R28B, R29, R38, R39, R40, R41, R42, R43, R44, R45, R50, R53, R54, R57, R74</t>
  </si>
  <si>
    <t>C34A, C34B, C36A, C36B</t>
  </si>
  <si>
    <t>C45</t>
  </si>
  <si>
    <t>C1, C2, C9A, C9B</t>
  </si>
  <si>
    <t>C26, C27, C28, C29</t>
  </si>
  <si>
    <t>C23, C24, C59, C65</t>
  </si>
  <si>
    <t>C12A, C12B, C14A, C14B, C15A, C15B, C21, C30</t>
  </si>
  <si>
    <t>R*1A, R*1B</t>
  </si>
  <si>
    <t>R1</t>
  </si>
  <si>
    <t>C25, C32A, C32B, C42, C56A, C56B</t>
  </si>
  <si>
    <t>R10, R*2A, R*2B</t>
  </si>
  <si>
    <t>R58, R59, R60, R61, R70, R71, R72, R73</t>
  </si>
  <si>
    <t>R7A, R7B, R16, R20</t>
  </si>
  <si>
    <t>C4, C19, C40, C41, C46, C63, C64, C67, C*3</t>
  </si>
  <si>
    <t>C5, C6A, C6B, C7A, C7B, C22, C37A, C37B, C43, C44, C48, C49, C50, C51</t>
  </si>
  <si>
    <t>R17, R22</t>
  </si>
  <si>
    <t>C20, C*1A, C*1B</t>
  </si>
  <si>
    <t>R30, R31, R32, R33, R34, R35, R36, R37</t>
  </si>
  <si>
    <t>C11A, C11B</t>
  </si>
  <si>
    <t>R14, R19</t>
  </si>
  <si>
    <t>R55A, R55B, R56A, R56B</t>
  </si>
  <si>
    <t>R2, R18, R23</t>
  </si>
  <si>
    <t>F_ST1, F_USB1, F_XT1</t>
  </si>
  <si>
    <t>C8A, C8B, C16A, C16B, C17A, C17B</t>
  </si>
  <si>
    <t>U15</t>
  </si>
  <si>
    <t>U1</t>
  </si>
  <si>
    <t>R_SUSB1</t>
  </si>
  <si>
    <t>D11, D12, D13, D14, D15, D16, D17, D18</t>
  </si>
  <si>
    <t>Q1, Q2</t>
  </si>
  <si>
    <t>L_1</t>
  </si>
  <si>
    <t>U9A, U9B</t>
  </si>
  <si>
    <t>U11</t>
  </si>
  <si>
    <t>J_EXT_I1, J_MISC1, J_UART1</t>
  </si>
  <si>
    <t>J_PWM_GND1, J_PWM_S1, J_PWM_VSUP1, J_SPI1</t>
  </si>
  <si>
    <t>U16</t>
  </si>
  <si>
    <t>U13A, U13B, U14A, U14B</t>
  </si>
  <si>
    <t>U10</t>
  </si>
  <si>
    <t>U8</t>
  </si>
  <si>
    <t>EN_VREG1, EN_VREG2, JP1A, JP1B, JP2A, JP2B, JP3, JP4, JP5, JP6, JP7, OUT_1, OUT_PD1, PWM_1, PWM_2, PWM_3, PWM_REG1</t>
  </si>
  <si>
    <t>FB1A, FB1B, FB2A, FB2B, FB3A, FB3B, FB4A, FB4B</t>
  </si>
  <si>
    <t>D1, D2, D6, D7, D8, D9, D10</t>
  </si>
  <si>
    <t>R_S1A, R_S1B, R_S2</t>
  </si>
  <si>
    <t>SW_EN1, SW_IO1</t>
  </si>
  <si>
    <t>R15, R21</t>
  </si>
  <si>
    <t>D3, D4, D25, D26</t>
  </si>
  <si>
    <t>F_1</t>
  </si>
  <si>
    <t>D5</t>
  </si>
  <si>
    <t>L1A, L1B</t>
  </si>
  <si>
    <t>J_1, J_EXT_2, J_IN_1, J_IN_2, J_IN_3, J_IN_4, J_SUP1, J_VREG1, J_VREG2, OUT_A1A, OUT_A1B, OUT_B1A, OUT_B1B</t>
  </si>
  <si>
    <t>U12</t>
  </si>
  <si>
    <t>U2, U3</t>
  </si>
  <si>
    <t>U4A, U4B</t>
  </si>
  <si>
    <t>U5</t>
  </si>
  <si>
    <t>U6, U7</t>
  </si>
  <si>
    <t>J1</t>
  </si>
  <si>
    <t>D19, D20, D21, D22, D23, D24, D27, D28</t>
  </si>
  <si>
    <t>J_EXT_1</t>
  </si>
  <si>
    <t>Tolerance</t>
  </si>
  <si>
    <t>Power</t>
  </si>
  <si>
    <t>100mW</t>
  </si>
  <si>
    <t>125mW</t>
  </si>
  <si>
    <t>500mW</t>
  </si>
  <si>
    <t>150mW</t>
  </si>
  <si>
    <t>250mW</t>
  </si>
  <si>
    <t>100W</t>
  </si>
  <si>
    <t>Voltage</t>
  </si>
  <si>
    <t>25V</t>
  </si>
  <si>
    <t>10V</t>
  </si>
  <si>
    <t>16V</t>
  </si>
  <si>
    <t>35V</t>
  </si>
  <si>
    <t>#Column Name Error:' Temp. Coeff</t>
  </si>
  <si>
    <t>Dielectric</t>
  </si>
  <si>
    <t>XR7</t>
  </si>
  <si>
    <t>X7R</t>
  </si>
  <si>
    <t>X5R</t>
  </si>
  <si>
    <t>Description</t>
  </si>
  <si>
    <t>Resistor</t>
  </si>
  <si>
    <t>Inductor</t>
  </si>
  <si>
    <t>Ceramic capacitor</t>
  </si>
  <si>
    <t>NTC Thermistor, 10k</t>
  </si>
  <si>
    <t>470 µF 35 V Aluminum Electrolytic Capacitors Radial, Can 2000 Hrs @ 105°C</t>
  </si>
  <si>
    <t>7A fuse 0603 package</t>
  </si>
  <si>
    <t>Aluminum Organic Polymer Capacitors 25Vol 100uF SMD 2KHr ESR=36 mOhms AECQ200</t>
  </si>
  <si>
    <t>Small 8-ch 12-bit analog-to-digital converter (ADC) with I2C interface, GPIOs, CRC and RMS module 16-WQFN -40 to 85</t>
  </si>
  <si>
    <t>USB_C PD controller</t>
  </si>
  <si>
    <t>Shunt Resistor 5mR, 0805</t>
  </si>
  <si>
    <t>Schottky Diode 200mA 30V reverse</t>
  </si>
  <si>
    <t>DMG7430LFG, N-mosfet</t>
  </si>
  <si>
    <t>Inductor, 2.2uF 4.76A</t>
  </si>
  <si>
    <t>65-V four-channel half-bridge driver with current sense outputs 44-HTSSOP</t>
  </si>
  <si>
    <t>Bluetooth, WiFi 802.11b/g/n, Bluetooth v5.0 Transceiver Module 2.4GHz Antenna Not Included, U.FL Surface Mount</t>
  </si>
  <si>
    <t>Goldpin Male 4</t>
  </si>
  <si>
    <t>Goldpin Male 8</t>
  </si>
  <si>
    <t>DAC53202RTER</t>
  </si>
  <si>
    <t>Ideal diode ORing controller 5.5A 23V</t>
  </si>
  <si>
    <t>26V, triple channel, 13-bit, i2c output current/voltage monitor w/alerts 16-VQFN</t>
  </si>
  <si>
    <t>Jumper on traces</t>
  </si>
  <si>
    <t>Ferrite bead</t>
  </si>
  <si>
    <t>22V Breakdown MSMP20A-M3/89A</t>
  </si>
  <si>
    <t>Shunt Resistor 10 mR, 1206, 250mW</t>
  </si>
  <si>
    <t>NO button</t>
  </si>
  <si>
    <t>LED RED 0603 3.3V</t>
  </si>
  <si>
    <t>FUSE PTC 1.1A 8VDC 2.2A TRIP</t>
  </si>
  <si>
    <t>Schottky Diode 1500mA 30V reverse</t>
  </si>
  <si>
    <t>Inductor, 4.7 uF , 10A</t>
  </si>
  <si>
    <t>Screw terminal x2 5mm spacing</t>
  </si>
  <si>
    <t>24-bit translating 1.65- to 5.5-V I2C/SMBus I/O expander with interrupt, reset &amp; config registers 32-UQFN -40 to 85</t>
  </si>
  <si>
    <t>Dual 1.5-pF, 5.5-V, ±25-kV  ESD protection diode with 5.5-A 8/20-uS surge rating  for USB 2.0 3-SC70</t>
  </si>
  <si>
    <t>30-V, 8-A buck-boost converter with I2C interface</t>
  </si>
  <si>
    <t>Switching Voltage Regulators 4.5-V to 28-V input 8-A synchronous buck</t>
  </si>
  <si>
    <t>2.7-V to 23-V, 5.5-A eFuse with integrated reverse polarity protection 10-VQFN-HR</t>
  </si>
  <si>
    <t>USB - C connector  16 pin, 100W, famale paraller to board</t>
  </si>
  <si>
    <t>Very low capacitance ESD protection</t>
  </si>
  <si>
    <t>XT60 male connector, ewentualnie dostępny w zasobach prywatnych (5szt)</t>
  </si>
  <si>
    <t>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</si>
</sst>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C09]dd\-mmm\-yy;@"/>
    <numFmt numFmtId="165" formatCode="[$-409]h:mm:ss\ AM/PM;@"/>
  </numFmts>
  <fonts count="16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10"/>
      <name val="Arial"/>
    </font>
    <font>
      <i/>
      <sz val="10"/>
      <name val="Arial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9"/>
      <color theme="0"/>
      <name val="Arial"/>
      <family val="2"/>
    </font>
    <font>
      <b/>
      <sz val="9"/>
      <color theme="0"/>
      <name val="Arial"/>
      <family val="2"/>
    </font>
    <font>
      <b/>
      <sz val="9"/>
      <color theme="7" tint="0.59999389629810485"/>
      <name val="Arial"/>
      <family val="2"/>
    </font>
    <font>
      <b/>
      <sz val="10"/>
      <color theme="7" tint="0.59999389629810485"/>
      <name val="Arial"/>
      <family val="2"/>
    </font>
    <font>
      <sz val="10"/>
      <color theme="8" tint="-0.499984740745262"/>
      <name val="Arial"/>
      <family val="2"/>
    </font>
    <font>
      <b/>
      <sz val="24"/>
      <color rgb="FF00B0F0"/>
      <name val="Arial"/>
      <family val="2"/>
    </font>
    <font>
      <b/>
      <sz val="24"/>
      <color theme="9" tint="0.39997558519241921"/>
      <name val="Arial"/>
      <family val="2"/>
      <charset val="238"/>
    </font>
    <font>
      <b/>
      <sz val="1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2"/>
      </bottom>
      <diagonal/>
    </border>
    <border>
      <left style="medium">
        <color indexed="64"/>
      </left>
      <right/>
      <top style="medium">
        <color indexed="64"/>
      </top>
      <bottom style="medium">
        <color indexed="62"/>
      </bottom>
      <diagonal/>
    </border>
    <border>
      <left/>
      <right/>
      <top style="medium">
        <color indexed="64"/>
      </top>
      <bottom style="medium">
        <color indexed="62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2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2"/>
      </left>
      <right/>
      <top/>
      <bottom style="medium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2"/>
      </top>
      <bottom/>
      <diagonal/>
    </border>
    <border>
      <left/>
      <right/>
      <top style="medium">
        <color indexed="62"/>
      </top>
      <bottom/>
      <diagonal/>
    </border>
    <border>
      <left/>
      <right style="medium">
        <color indexed="62"/>
      </right>
      <top style="medium">
        <color indexed="62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01">
    <xf numFmtId="0" fontId="0" fillId="0" borderId="0" xfId="0"/>
    <xf numFmtId="0" fontId="0" fillId="0" borderId="0" xfId="0" applyAlignment="1">
      <alignment vertical="top"/>
    </xf>
    <xf numFmtId="0" fontId="3" fillId="0" borderId="0" xfId="0" applyFont="1" applyAlignment="1">
      <alignment vertical="top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left" vertical="top" wrapText="1"/>
    </xf>
    <xf numFmtId="0" fontId="1" fillId="0" borderId="0" xfId="0" applyFont="1" applyAlignment="1" applyProtection="1">
      <alignment vertical="top"/>
      <protection locked="0"/>
    </xf>
    <xf numFmtId="0" fontId="1" fillId="0" borderId="0" xfId="0" applyFont="1" applyAlignment="1" applyProtection="1">
      <alignment horizontal="left" vertical="top"/>
      <protection locked="0"/>
    </xf>
    <xf numFmtId="0" fontId="1" fillId="0" borderId="2" xfId="0" applyFont="1" applyBorder="1" applyAlignment="1" applyProtection="1">
      <alignment horizontal="left" vertical="top"/>
      <protection locked="0"/>
    </xf>
    <xf numFmtId="0" fontId="1" fillId="0" borderId="2" xfId="0" applyFont="1" applyBorder="1" applyAlignment="1" applyProtection="1">
      <alignment vertical="top"/>
      <protection locked="0"/>
    </xf>
    <xf numFmtId="0" fontId="4" fillId="0" borderId="0" xfId="0" applyFont="1" applyAlignment="1" applyProtection="1">
      <alignment horizontal="left" vertical="top"/>
      <protection locked="0"/>
    </xf>
    <xf numFmtId="0" fontId="4" fillId="0" borderId="0" xfId="0" applyFont="1" applyAlignment="1" applyProtection="1">
      <alignment vertical="top"/>
      <protection locked="0"/>
    </xf>
    <xf numFmtId="0" fontId="0" fillId="0" borderId="3" xfId="0" applyBorder="1" applyAlignment="1">
      <alignment horizontal="left" vertical="top"/>
    </xf>
    <xf numFmtId="0" fontId="0" fillId="0" borderId="3" xfId="0" applyBorder="1" applyAlignment="1">
      <alignment vertical="top"/>
    </xf>
    <xf numFmtId="0" fontId="3" fillId="0" borderId="4" xfId="0" applyFont="1" applyBorder="1" applyAlignment="1">
      <alignment vertical="top" wrapText="1"/>
    </xf>
    <xf numFmtId="14" fontId="0" fillId="0" borderId="3" xfId="0" applyNumberFormat="1" applyBorder="1" applyAlignment="1">
      <alignment vertical="top"/>
    </xf>
    <xf numFmtId="0" fontId="1" fillId="0" borderId="3" xfId="0" applyFont="1" applyBorder="1" applyAlignment="1" applyProtection="1">
      <alignment vertical="top"/>
      <protection locked="0"/>
    </xf>
    <xf numFmtId="0" fontId="3" fillId="0" borderId="5" xfId="0" applyFont="1" applyBorder="1" applyAlignment="1">
      <alignment horizontal="left" vertical="top" wrapText="1"/>
    </xf>
    <xf numFmtId="0" fontId="0" fillId="2" borderId="6" xfId="0" applyFill="1" applyBorder="1"/>
    <xf numFmtId="0" fontId="0" fillId="0" borderId="0" xfId="0" applyAlignment="1">
      <alignment horizontal="left" vertical="top"/>
    </xf>
    <xf numFmtId="0" fontId="0" fillId="2" borderId="7" xfId="0" applyFill="1" applyBorder="1"/>
    <xf numFmtId="0" fontId="0" fillId="2" borderId="8" xfId="0" applyFill="1" applyBorder="1"/>
    <xf numFmtId="0" fontId="0" fillId="2" borderId="8" xfId="0" applyFill="1" applyBorder="1" applyAlignment="1">
      <alignment horizontal="left"/>
    </xf>
    <xf numFmtId="0" fontId="0" fillId="2" borderId="9" xfId="0" applyFill="1" applyBorder="1" applyAlignment="1">
      <alignment horizontal="left"/>
    </xf>
    <xf numFmtId="0" fontId="0" fillId="2" borderId="9" xfId="0" applyFill="1" applyBorder="1"/>
    <xf numFmtId="0" fontId="0" fillId="2" borderId="10" xfId="0" applyFill="1" applyBorder="1"/>
    <xf numFmtId="0" fontId="0" fillId="2" borderId="11" xfId="0" applyFill="1" applyBorder="1"/>
    <xf numFmtId="0" fontId="3" fillId="0" borderId="12" xfId="0" applyFont="1" applyBorder="1" applyAlignment="1">
      <alignment vertical="top" wrapText="1"/>
    </xf>
    <xf numFmtId="14" fontId="0" fillId="0" borderId="13" xfId="0" applyNumberFormat="1" applyBorder="1" applyAlignment="1">
      <alignment vertical="top"/>
    </xf>
    <xf numFmtId="0" fontId="4" fillId="0" borderId="12" xfId="0" applyFont="1" applyBorder="1" applyAlignment="1" applyProtection="1">
      <alignment vertical="top"/>
      <protection locked="0"/>
    </xf>
    <xf numFmtId="0" fontId="1" fillId="0" borderId="14" xfId="0" applyFont="1" applyBorder="1" applyAlignment="1" applyProtection="1">
      <alignment vertical="top"/>
      <protection locked="0"/>
    </xf>
    <xf numFmtId="0" fontId="1" fillId="0" borderId="16" xfId="0" applyFont="1" applyBorder="1" applyAlignment="1" applyProtection="1">
      <alignment vertical="top"/>
      <protection locked="0"/>
    </xf>
    <xf numFmtId="0" fontId="1" fillId="0" borderId="17" xfId="0" applyFont="1" applyBorder="1" applyAlignment="1" applyProtection="1">
      <alignment vertical="top"/>
      <protection locked="0"/>
    </xf>
    <xf numFmtId="0" fontId="0" fillId="0" borderId="12" xfId="0" applyBorder="1" applyAlignment="1">
      <alignment vertical="top"/>
    </xf>
    <xf numFmtId="0" fontId="0" fillId="0" borderId="14" xfId="0" applyBorder="1" applyAlignment="1">
      <alignment vertical="top"/>
    </xf>
    <xf numFmtId="0" fontId="3" fillId="0" borderId="23" xfId="0" applyFont="1" applyBorder="1" applyAlignment="1">
      <alignment horizontal="right" vertical="top"/>
    </xf>
    <xf numFmtId="0" fontId="3" fillId="0" borderId="24" xfId="0" applyFont="1" applyBorder="1" applyAlignment="1">
      <alignment vertical="top" wrapText="1"/>
    </xf>
    <xf numFmtId="0" fontId="3" fillId="0" borderId="26" xfId="0" applyFont="1" applyBorder="1" applyAlignment="1">
      <alignment vertical="top" wrapText="1"/>
    </xf>
    <xf numFmtId="0" fontId="3" fillId="0" borderId="31" xfId="0" applyFont="1" applyBorder="1" applyAlignment="1">
      <alignment vertical="top" wrapText="1"/>
    </xf>
    <xf numFmtId="0" fontId="3" fillId="0" borderId="26" xfId="0" applyFont="1" applyBorder="1" applyAlignment="1">
      <alignment horizontal="left" vertical="top" wrapText="1"/>
    </xf>
    <xf numFmtId="49" fontId="3" fillId="0" borderId="5" xfId="0" applyNumberFormat="1" applyFont="1" applyBorder="1" applyAlignment="1">
      <alignment vertical="top" wrapText="1"/>
    </xf>
    <xf numFmtId="0" fontId="1" fillId="0" borderId="23" xfId="0" applyFont="1" applyBorder="1" applyAlignment="1" applyProtection="1">
      <alignment vertical="top"/>
      <protection locked="0"/>
    </xf>
    <xf numFmtId="0" fontId="0" fillId="0" borderId="32" xfId="0" applyBorder="1"/>
    <xf numFmtId="0" fontId="1" fillId="0" borderId="32" xfId="0" applyFont="1" applyBorder="1" applyAlignment="1" applyProtection="1">
      <alignment vertical="top"/>
      <protection locked="0"/>
    </xf>
    <xf numFmtId="0" fontId="7" fillId="3" borderId="16" xfId="0" applyFont="1" applyFill="1" applyBorder="1"/>
    <xf numFmtId="0" fontId="7" fillId="3" borderId="2" xfId="0" applyFont="1" applyFill="1" applyBorder="1"/>
    <xf numFmtId="0" fontId="7" fillId="3" borderId="2" xfId="0" applyFont="1" applyFill="1" applyBorder="1" applyAlignment="1">
      <alignment horizontal="left"/>
    </xf>
    <xf numFmtId="0" fontId="6" fillId="3" borderId="2" xfId="0" applyFont="1" applyFill="1" applyBorder="1" applyAlignment="1">
      <alignment horizontal="left"/>
    </xf>
    <xf numFmtId="0" fontId="6" fillId="3" borderId="2" xfId="0" applyFont="1" applyFill="1" applyBorder="1"/>
    <xf numFmtId="0" fontId="8" fillId="3" borderId="12" xfId="0" applyFont="1" applyFill="1" applyBorder="1"/>
    <xf numFmtId="0" fontId="6" fillId="3" borderId="0" xfId="0" applyFont="1" applyFill="1" applyAlignment="1">
      <alignment horizontal="left" vertical="top"/>
    </xf>
    <xf numFmtId="0" fontId="10" fillId="3" borderId="0" xfId="0" applyFont="1" applyFill="1" applyAlignment="1">
      <alignment horizontal="right"/>
    </xf>
    <xf numFmtId="0" fontId="11" fillId="3" borderId="0" xfId="0" applyFont="1" applyFill="1" applyAlignment="1">
      <alignment horizontal="right"/>
    </xf>
    <xf numFmtId="0" fontId="6" fillId="3" borderId="12" xfId="0" applyFont="1" applyFill="1" applyBorder="1"/>
    <xf numFmtId="164" fontId="6" fillId="3" borderId="18" xfId="0" applyNumberFormat="1" applyFont="1" applyFill="1" applyBorder="1" applyAlignment="1">
      <alignment horizontal="left"/>
    </xf>
    <xf numFmtId="165" fontId="6" fillId="3" borderId="18" xfId="0" applyNumberFormat="1" applyFont="1" applyFill="1" applyBorder="1" applyAlignment="1">
      <alignment horizontal="left"/>
    </xf>
    <xf numFmtId="0" fontId="8" fillId="3" borderId="0" xfId="0" applyFont="1" applyFill="1"/>
    <xf numFmtId="0" fontId="6" fillId="3" borderId="0" xfId="0" applyFont="1" applyFill="1"/>
    <xf numFmtId="49" fontId="6" fillId="3" borderId="18" xfId="0" applyNumberFormat="1" applyFont="1" applyFill="1" applyBorder="1" applyAlignment="1">
      <alignment horizontal="left"/>
    </xf>
    <xf numFmtId="0" fontId="6" fillId="3" borderId="0" xfId="0" applyFont="1" applyFill="1" applyAlignment="1">
      <alignment horizontal="left"/>
    </xf>
    <xf numFmtId="0" fontId="9" fillId="3" borderId="19" xfId="0" applyFont="1" applyFill="1" applyBorder="1" applyAlignment="1">
      <alignment vertical="center"/>
    </xf>
    <xf numFmtId="0" fontId="9" fillId="3" borderId="20" xfId="0" applyFont="1" applyFill="1" applyBorder="1" applyAlignment="1">
      <alignment vertical="center"/>
    </xf>
    <xf numFmtId="0" fontId="9" fillId="3" borderId="20" xfId="0" applyFont="1" applyFill="1" applyBorder="1" applyAlignment="1">
      <alignment horizontal="left" vertical="center"/>
    </xf>
    <xf numFmtId="0" fontId="7" fillId="3" borderId="12" xfId="0" applyFont="1" applyFill="1" applyBorder="1"/>
    <xf numFmtId="0" fontId="7" fillId="3" borderId="0" xfId="0" applyFont="1" applyFill="1"/>
    <xf numFmtId="0" fontId="7" fillId="3" borderId="18" xfId="0" applyFont="1" applyFill="1" applyBorder="1" applyAlignment="1">
      <alignment horizontal="left"/>
    </xf>
    <xf numFmtId="0" fontId="6" fillId="3" borderId="18" xfId="0" applyFont="1" applyFill="1" applyBorder="1"/>
    <xf numFmtId="0" fontId="15" fillId="0" borderId="0" xfId="0" applyFont="1" applyAlignment="1" applyProtection="1">
      <alignment horizontal="left" vertical="top"/>
      <protection locked="0"/>
    </xf>
    <xf numFmtId="0" fontId="5" fillId="4" borderId="13" xfId="0" applyFont="1" applyFill="1" applyBorder="1" applyAlignment="1" applyProtection="1">
      <alignment vertical="top" wrapText="1"/>
      <protection locked="0"/>
    </xf>
    <xf numFmtId="0" fontId="5" fillId="4" borderId="3" xfId="0" applyFont="1" applyFill="1" applyBorder="1" applyAlignment="1" applyProtection="1">
      <alignment vertical="top" wrapText="1"/>
      <protection locked="0"/>
    </xf>
    <xf numFmtId="0" fontId="1" fillId="4" borderId="3" xfId="0" applyFont="1" applyFill="1" applyBorder="1" applyAlignment="1" applyProtection="1">
      <alignment horizontal="left" vertical="top" wrapText="1"/>
      <protection locked="0"/>
    </xf>
    <xf numFmtId="0" fontId="5" fillId="4" borderId="15" xfId="0" applyFont="1" applyFill="1" applyBorder="1" applyAlignment="1" applyProtection="1">
      <alignment vertical="top" wrapText="1"/>
      <protection locked="0"/>
    </xf>
    <xf numFmtId="0" fontId="1" fillId="4" borderId="16" xfId="0" applyFont="1" applyFill="1" applyBorder="1" applyAlignment="1" applyProtection="1">
      <alignment vertical="top" wrapText="1"/>
      <protection locked="0"/>
    </xf>
    <xf numFmtId="0" fontId="1" fillId="4" borderId="2" xfId="0" applyFont="1" applyFill="1" applyBorder="1" applyAlignment="1" applyProtection="1">
      <alignment vertical="top" wrapText="1"/>
      <protection locked="0"/>
    </xf>
    <xf numFmtId="0" fontId="1" fillId="4" borderId="2" xfId="0" applyFont="1" applyFill="1" applyBorder="1" applyAlignment="1" applyProtection="1">
      <alignment horizontal="left" vertical="top" wrapText="1"/>
      <protection locked="0"/>
    </xf>
    <xf numFmtId="0" fontId="5" fillId="4" borderId="2" xfId="0" applyFont="1" applyFill="1" applyBorder="1" applyAlignment="1" applyProtection="1">
      <alignment vertical="top" wrapText="1"/>
      <protection locked="0"/>
    </xf>
    <xf numFmtId="0" fontId="5" fillId="4" borderId="17" xfId="0" applyFont="1" applyFill="1" applyBorder="1" applyAlignment="1" applyProtection="1">
      <alignment vertical="top" wrapText="1"/>
      <protection locked="0"/>
    </xf>
    <xf numFmtId="1" fontId="3" fillId="4" borderId="24" xfId="0" applyNumberFormat="1" applyFont="1" applyFill="1" applyBorder="1" applyAlignment="1">
      <alignment vertical="top" wrapText="1"/>
    </xf>
    <xf numFmtId="1" fontId="3" fillId="4" borderId="26" xfId="0" applyNumberFormat="1" applyFont="1" applyFill="1" applyBorder="1" applyAlignment="1">
      <alignment vertical="top" wrapText="1"/>
    </xf>
    <xf numFmtId="1" fontId="0" fillId="4" borderId="20" xfId="0" applyNumberFormat="1" applyFill="1" applyBorder="1" applyAlignment="1">
      <alignment vertical="top"/>
    </xf>
    <xf numFmtId="1" fontId="3" fillId="5" borderId="25" xfId="0" applyNumberFormat="1" applyFont="1" applyFill="1" applyBorder="1" applyAlignment="1">
      <alignment vertical="top" wrapText="1"/>
    </xf>
    <xf numFmtId="1" fontId="0" fillId="5" borderId="22" xfId="0" applyNumberFormat="1" applyFill="1" applyBorder="1" applyAlignment="1">
      <alignment vertical="top"/>
    </xf>
    <xf numFmtId="0" fontId="6" fillId="3" borderId="14" xfId="0" applyFont="1" applyFill="1" applyBorder="1"/>
    <xf numFmtId="0" fontId="6" fillId="3" borderId="17" xfId="0" applyFont="1" applyFill="1" applyBorder="1"/>
    <xf numFmtId="0" fontId="12" fillId="3" borderId="14" xfId="0" applyFont="1" applyFill="1" applyBorder="1"/>
    <xf numFmtId="0" fontId="10" fillId="3" borderId="27" xfId="0" applyFont="1" applyFill="1" applyBorder="1" applyAlignment="1">
      <alignment horizontal="center" vertical="center"/>
    </xf>
    <xf numFmtId="0" fontId="14" fillId="2" borderId="28" xfId="0" applyFont="1" applyFill="1" applyBorder="1" applyAlignment="1">
      <alignment horizontal="center" vertical="center"/>
    </xf>
    <xf numFmtId="0" fontId="13" fillId="2" borderId="29" xfId="0" applyFont="1" applyFill="1" applyBorder="1" applyAlignment="1">
      <alignment horizontal="center" vertical="center"/>
    </xf>
    <xf numFmtId="0" fontId="13" fillId="2" borderId="30" xfId="0" applyFont="1" applyFill="1" applyBorder="1" applyAlignment="1">
      <alignment horizontal="center" vertical="center"/>
    </xf>
    <xf numFmtId="0" fontId="1" fillId="0" borderId="13" xfId="0" applyFont="1" applyBorder="1" applyAlignment="1" applyProtection="1">
      <alignment horizontal="center" vertical="top"/>
      <protection locked="0"/>
    </xf>
    <xf numFmtId="0" fontId="1" fillId="0" borderId="3" xfId="0" applyFont="1" applyBorder="1" applyAlignment="1" applyProtection="1">
      <alignment horizontal="center" vertical="top"/>
      <protection locked="0"/>
    </xf>
    <xf numFmtId="0" fontId="1" fillId="0" borderId="12" xfId="0" applyFont="1" applyBorder="1" applyAlignment="1" applyProtection="1">
      <alignment horizontal="center" vertical="top"/>
      <protection locked="0"/>
    </xf>
    <xf numFmtId="0" fontId="1" fillId="0" borderId="0" xfId="0" applyFont="1" applyAlignment="1" applyProtection="1">
      <alignment horizontal="center" vertical="top"/>
      <protection locked="0"/>
    </xf>
    <xf numFmtId="0" fontId="1" fillId="0" borderId="16" xfId="0" applyFont="1" applyBorder="1" applyAlignment="1" applyProtection="1">
      <alignment horizontal="center" vertical="top"/>
      <protection locked="0"/>
    </xf>
    <xf numFmtId="0" fontId="1" fillId="0" borderId="2" xfId="0" applyFont="1" applyBorder="1" applyAlignment="1" applyProtection="1">
      <alignment horizontal="center" vertical="top"/>
      <protection locked="0"/>
    </xf>
    <xf numFmtId="0" fontId="2" fillId="2" borderId="21" xfId="0" quotePrefix="1" applyFont="1" applyFill="1" applyBorder="1" applyAlignment="1">
      <alignment vertical="center"/>
    </xf>
    <xf numFmtId="0" fontId="7" fillId="3" borderId="0" xfId="0" quotePrefix="1" applyFont="1" applyFill="1" applyAlignment="1">
      <alignment horizontal="left"/>
    </xf>
    <xf numFmtId="0" fontId="6" fillId="3" borderId="2" xfId="0" quotePrefix="1" applyFont="1" applyFill="1" applyBorder="1" applyAlignment="1">
      <alignment horizontal="left"/>
    </xf>
    <xf numFmtId="9" fontId="3" fillId="0" borderId="31" xfId="0" applyNumberFormat="1" applyFont="1" applyBorder="1" applyAlignment="1">
      <alignment vertical="top" wrapText="1"/>
    </xf>
    <xf numFmtId="9" fontId="3" fillId="0" borderId="26" xfId="0" applyNumberFormat="1" applyFont="1" applyBorder="1" applyAlignment="1">
      <alignment horizontal="left" vertical="top" wrapText="1"/>
    </xf>
    <xf numFmtId="10" fontId="3" fillId="0" borderId="26" xfId="0" applyNumberFormat="1" applyFont="1" applyBorder="1" applyAlignment="1">
      <alignment horizontal="left" vertical="top" wrapText="1"/>
    </xf>
    <xf numFmtId="10" fontId="3" fillId="0" borderId="31" xfId="0" applyNumberFormat="1" applyFont="1" applyBorder="1" applyAlignment="1">
      <alignment vertical="top" wrapText="1"/>
    </xf>
  </cellXfs>
  <cellStyles count="1">
    <cellStyle name="Normal" xfId="0" builtinId="0"/>
  </cellStyles>
  <dxfs count="1">
    <dxf>
      <fill>
        <patternFill patternType="lightUp">
          <bgColor theme="7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140970</xdr:colOff>
      <xdr:row>0</xdr:row>
      <xdr:rowOff>11430</xdr:rowOff>
    </xdr:from>
    <xdr:to>
      <xdr:col>11</xdr:col>
      <xdr:colOff>712470</xdr:colOff>
      <xdr:row>1</xdr:row>
      <xdr:rowOff>458729</xdr:rowOff>
    </xdr:to>
    <xdr:pic>
      <xdr:nvPicPr>
        <xdr:cNvPr id="2" name="Obraz 1">
          <a:extLst>
            <a:ext uri="{FF2B5EF4-FFF2-40B4-BE49-F238E27FC236}">
              <a16:creationId xmlns:a16="http://schemas.microsoft.com/office/drawing/2014/main" id="{FD172CE4-FFEF-E199-CC1F-D9D951B284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08280" y="11430"/>
          <a:ext cx="1325880" cy="6073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61504</xdr:colOff>
      <xdr:row>81</xdr:row>
      <xdr:rowOff>57150</xdr:rowOff>
    </xdr:from>
    <xdr:to>
      <xdr:col>11</xdr:col>
      <xdr:colOff>841734</xdr:colOff>
      <xdr:row>85</xdr:row>
      <xdr:rowOff>96040</xdr:rowOff>
    </xdr:to>
    <xdr:pic>
      <xdr:nvPicPr>
        <xdr:cNvPr id="5" name="Obraz 4">
          <a:extLst>
            <a:ext uri="{FF2B5EF4-FFF2-40B4-BE49-F238E27FC236}">
              <a16:creationId xmlns:a16="http://schemas.microsoft.com/office/drawing/2014/main" id="{4064DF2E-2C7A-4455-8103-0299EB7430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447" y="3921579"/>
          <a:ext cx="1536787" cy="6920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10"/>
  <sheetViews>
    <sheetView showGridLines="0" tabSelected="1" zoomScale="70" zoomScaleNormal="70" workbookViewId="0">
      <selection activeCell="B9" sqref="B9"/>
    </sheetView>
  </sheetViews>
  <sheetFormatPr defaultColWidth="9.109375" defaultRowHeight="13.2" x14ac:dyDescent="0.25"/>
  <cols>
    <col min="1" max="1" width="12" style="32" customWidth="1"/>
    <col min="2" max="2" width="12" style="1" customWidth="1"/>
    <col min="3" max="4" width="14.44140625" style="18" customWidth="1"/>
    <col min="5" max="5" width="19.21875" style="1" customWidth="1"/>
    <col min="6" max="6" width="16.5546875" style="1" customWidth="1"/>
    <col min="7" max="7" width="12.44140625" style="1" customWidth="1"/>
    <col min="8" max="8" width="10.5546875" style="1" customWidth="1"/>
    <col min="9" max="9" width="15.109375" style="1" customWidth="1"/>
    <col min="10" max="10" width="59.21875" style="1" customWidth="1"/>
    <col min="11" max="11" width="11" style="33" customWidth="1"/>
    <col min="12" max="12" width="13.21875" style="33" customWidth="1"/>
    <col min="13" max="16384" width="9.109375" style="1"/>
  </cols>
  <sheetData>
    <row r="1" spans="1:12" ht="13.8" thickBot="1" x14ac:dyDescent="0.3">
      <c r="A1" s="19"/>
      <c r="B1" s="20"/>
      <c r="C1" s="21"/>
      <c r="D1" s="22"/>
      <c r="E1" s="23"/>
      <c r="F1" s="23"/>
      <c r="G1" s="23"/>
      <c r="H1" s="23"/>
      <c r="I1" s="23"/>
      <c r="J1" s="23"/>
      <c r="K1" s="23"/>
      <c r="L1" s="24"/>
    </row>
    <row r="2" spans="1:12" ht="37.5" customHeight="1" thickBot="1" x14ac:dyDescent="0.3">
      <c r="A2" s="85" t="s">
        <v>0</v>
      </c>
      <c r="B2" s="86"/>
      <c r="C2" s="87"/>
      <c r="D2" s="94" t="s">
        <v>10</v>
      </c>
      <c r="E2" s="17"/>
      <c r="F2" s="17"/>
      <c r="G2" s="17"/>
      <c r="H2" s="17"/>
      <c r="I2" s="17"/>
      <c r="J2" s="17"/>
      <c r="K2" s="17"/>
      <c r="L2" s="25"/>
    </row>
    <row r="3" spans="1:12" ht="23.25" customHeight="1" x14ac:dyDescent="0.25">
      <c r="A3" s="62" t="s">
        <v>4</v>
      </c>
      <c r="B3" s="63"/>
      <c r="C3" s="95" t="s">
        <v>11</v>
      </c>
      <c r="D3" s="63"/>
      <c r="E3" s="63"/>
      <c r="F3" s="63"/>
      <c r="G3" s="63"/>
      <c r="H3" s="63"/>
      <c r="I3" s="63"/>
      <c r="J3" s="56"/>
      <c r="K3" s="56"/>
      <c r="L3" s="81"/>
    </row>
    <row r="4" spans="1:12" ht="17.25" customHeight="1" x14ac:dyDescent="0.25">
      <c r="A4" s="62" t="s">
        <v>3</v>
      </c>
      <c r="B4" s="63"/>
      <c r="C4" s="64" t="s">
        <v>12</v>
      </c>
      <c r="D4" s="65"/>
      <c r="E4" s="65"/>
      <c r="F4" s="56"/>
      <c r="G4" s="56"/>
      <c r="H4" s="56"/>
      <c r="I4" s="56"/>
      <c r="J4" s="56"/>
      <c r="K4" s="56"/>
      <c r="L4" s="81"/>
    </row>
    <row r="5" spans="1:12" ht="17.25" customHeight="1" x14ac:dyDescent="0.25">
      <c r="A5" s="62" t="s">
        <v>6</v>
      </c>
      <c r="B5" s="63"/>
      <c r="C5" s="45" t="s">
        <v>7</v>
      </c>
      <c r="D5" s="47"/>
      <c r="E5" s="47"/>
      <c r="F5" s="56"/>
      <c r="G5" s="56"/>
      <c r="H5" s="56"/>
      <c r="I5" s="56"/>
      <c r="J5"/>
      <c r="K5" s="56"/>
      <c r="L5" s="81"/>
    </row>
    <row r="6" spans="1:12" x14ac:dyDescent="0.25">
      <c r="A6" s="43"/>
      <c r="B6" s="44"/>
      <c r="C6" s="45"/>
      <c r="D6" s="46"/>
      <c r="E6" s="47"/>
      <c r="F6" s="47"/>
      <c r="G6" s="47"/>
      <c r="H6" s="47"/>
      <c r="I6" s="47"/>
      <c r="J6" s="44"/>
      <c r="K6" s="47"/>
      <c r="L6" s="82"/>
    </row>
    <row r="7" spans="1:12" ht="15.75" customHeight="1" x14ac:dyDescent="0.25">
      <c r="A7" s="48" t="s">
        <v>5</v>
      </c>
      <c r="B7" s="96" t="s">
        <v>13</v>
      </c>
      <c r="C7" s="96" t="s">
        <v>14</v>
      </c>
      <c r="D7" s="49"/>
      <c r="E7" s="50"/>
      <c r="F7" s="50"/>
      <c r="G7" s="50"/>
      <c r="H7" s="50"/>
      <c r="I7" s="50"/>
      <c r="J7" s="51" t="s">
        <v>1</v>
      </c>
      <c r="K7" s="56"/>
      <c r="L7" s="83">
        <f>IF(K7="",1,K7)</f>
        <v>1</v>
      </c>
    </row>
    <row r="8" spans="1:12" ht="15.75" customHeight="1" x14ac:dyDescent="0.25">
      <c r="A8" s="52" t="s">
        <v>9</v>
      </c>
      <c r="B8" s="53" t="s">
        <v>15</v>
      </c>
      <c r="C8" s="54"/>
      <c r="D8" s="49"/>
      <c r="E8" s="55"/>
      <c r="F8" s="55"/>
      <c r="G8" s="55"/>
      <c r="H8" s="55"/>
      <c r="I8" s="55"/>
      <c r="J8" s="56"/>
      <c r="K8" s="56"/>
      <c r="L8" s="81"/>
    </row>
    <row r="9" spans="1:12" ht="15.75" customHeight="1" x14ac:dyDescent="0.25">
      <c r="A9" s="48"/>
      <c r="B9" s="57"/>
      <c r="C9" s="57"/>
      <c r="D9" s="49"/>
      <c r="E9" s="55"/>
      <c r="F9" s="55"/>
      <c r="G9" s="55"/>
      <c r="H9" s="55"/>
      <c r="I9" s="55"/>
      <c r="J9" s="56"/>
      <c r="K9" s="56"/>
      <c r="L9" s="81"/>
    </row>
    <row r="10" spans="1:12" ht="15.75" customHeight="1" x14ac:dyDescent="0.25">
      <c r="A10" s="52"/>
      <c r="B10" s="58"/>
      <c r="C10" s="58"/>
      <c r="D10" s="49"/>
      <c r="E10" s="56"/>
      <c r="F10" s="56"/>
      <c r="G10" s="56"/>
      <c r="H10" s="56"/>
      <c r="I10" s="56"/>
      <c r="J10" s="56"/>
      <c r="K10" s="56"/>
      <c r="L10" s="81"/>
    </row>
    <row r="11" spans="1:12" s="3" customFormat="1" ht="19.5" customHeight="1" x14ac:dyDescent="0.25">
      <c r="A11" s="59" t="s">
        <v>16</v>
      </c>
      <c r="B11" s="60" t="s">
        <v>79</v>
      </c>
      <c r="C11" s="61" t="s">
        <v>88</v>
      </c>
      <c r="D11" s="60" t="s">
        <v>102</v>
      </c>
      <c r="E11" s="60" t="s">
        <v>171</v>
      </c>
      <c r="F11" s="60" t="s">
        <v>172</v>
      </c>
      <c r="G11" s="60" t="s">
        <v>179</v>
      </c>
      <c r="H11" s="60" t="s">
        <v>184</v>
      </c>
      <c r="I11" s="60" t="s">
        <v>185</v>
      </c>
      <c r="J11" s="60" t="s">
        <v>189</v>
      </c>
      <c r="K11" s="60" t="s">
        <v>228</v>
      </c>
      <c r="L11" s="84" t="s">
        <v>8</v>
      </c>
    </row>
    <row r="12" spans="1:12" s="2" customFormat="1" ht="30" customHeight="1" x14ac:dyDescent="0.25">
      <c r="A12" s="26" t="s">
        <v>17</v>
      </c>
      <c r="B12" s="39" t="s">
        <v>80</v>
      </c>
      <c r="C12" s="16"/>
      <c r="D12" s="13" t="s">
        <v>103</v>
      </c>
      <c r="E12" s="97">
        <v>0.01</v>
      </c>
      <c r="F12" s="37" t="s">
        <v>173</v>
      </c>
      <c r="G12" s="37"/>
      <c r="H12" s="37"/>
      <c r="I12" s="37"/>
      <c r="J12" s="35" t="s">
        <v>190</v>
      </c>
      <c r="K12" s="76">
        <v>5</v>
      </c>
      <c r="L12" s="79">
        <f>K12*$L$7</f>
        <v>5</v>
      </c>
    </row>
    <row r="13" spans="1:12" s="2" customFormat="1" ht="30" customHeight="1" x14ac:dyDescent="0.25">
      <c r="A13" s="26" t="s">
        <v>18</v>
      </c>
      <c r="B13" s="39" t="s">
        <v>81</v>
      </c>
      <c r="C13" s="16"/>
      <c r="D13" s="4" t="s">
        <v>104</v>
      </c>
      <c r="E13" s="98">
        <v>0.2</v>
      </c>
      <c r="F13" s="38"/>
      <c r="G13" s="38"/>
      <c r="H13" s="38"/>
      <c r="I13" s="38"/>
      <c r="J13" s="36" t="s">
        <v>191</v>
      </c>
      <c r="K13" s="77">
        <v>2</v>
      </c>
      <c r="L13" s="79">
        <f>K13*$L$7</f>
        <v>2</v>
      </c>
    </row>
    <row r="14" spans="1:12" s="2" customFormat="1" ht="30" customHeight="1" x14ac:dyDescent="0.25">
      <c r="A14" s="26" t="s">
        <v>19</v>
      </c>
      <c r="B14" s="39" t="s">
        <v>80</v>
      </c>
      <c r="C14" s="16"/>
      <c r="D14" s="13" t="s">
        <v>105</v>
      </c>
      <c r="E14" s="97">
        <v>0.1</v>
      </c>
      <c r="F14" s="37"/>
      <c r="G14" s="37" t="s">
        <v>180</v>
      </c>
      <c r="H14" s="37"/>
      <c r="I14" s="37" t="s">
        <v>186</v>
      </c>
      <c r="J14" s="35" t="s">
        <v>192</v>
      </c>
      <c r="K14" s="76">
        <v>10</v>
      </c>
      <c r="L14" s="79">
        <f>K14*$L$7</f>
        <v>10</v>
      </c>
    </row>
    <row r="15" spans="1:12" s="2" customFormat="1" ht="30" customHeight="1" x14ac:dyDescent="0.25">
      <c r="A15" s="26" t="s">
        <v>20</v>
      </c>
      <c r="B15" s="39" t="s">
        <v>80</v>
      </c>
      <c r="C15" s="16"/>
      <c r="D15" s="4" t="s">
        <v>106</v>
      </c>
      <c r="E15" s="98">
        <v>0.1</v>
      </c>
      <c r="F15" s="38"/>
      <c r="G15" s="38" t="s">
        <v>181</v>
      </c>
      <c r="H15" s="38"/>
      <c r="I15" s="38" t="s">
        <v>187</v>
      </c>
      <c r="J15" s="36" t="s">
        <v>192</v>
      </c>
      <c r="K15" s="77">
        <v>16</v>
      </c>
      <c r="L15" s="79">
        <f>K15*$L$7</f>
        <v>16</v>
      </c>
    </row>
    <row r="16" spans="1:12" s="2" customFormat="1" ht="30" customHeight="1" x14ac:dyDescent="0.25">
      <c r="A16" s="26" t="s">
        <v>21</v>
      </c>
      <c r="B16" s="39" t="s">
        <v>80</v>
      </c>
      <c r="C16" s="16"/>
      <c r="D16" s="13" t="s">
        <v>107</v>
      </c>
      <c r="E16" s="97">
        <v>0.01</v>
      </c>
      <c r="F16" s="37" t="s">
        <v>173</v>
      </c>
      <c r="G16" s="37"/>
      <c r="H16" s="37"/>
      <c r="I16" s="37"/>
      <c r="J16" s="35" t="s">
        <v>190</v>
      </c>
      <c r="K16" s="76">
        <v>10</v>
      </c>
      <c r="L16" s="79">
        <f>K16*$L$7</f>
        <v>10</v>
      </c>
    </row>
    <row r="17" spans="1:12" s="2" customFormat="1" ht="30" customHeight="1" x14ac:dyDescent="0.25">
      <c r="A17" s="26" t="s">
        <v>22</v>
      </c>
      <c r="B17" s="39" t="s">
        <v>80</v>
      </c>
      <c r="C17" s="16"/>
      <c r="D17" s="4" t="s">
        <v>108</v>
      </c>
      <c r="E17" s="98">
        <v>0.1</v>
      </c>
      <c r="F17" s="38"/>
      <c r="G17" s="38" t="s">
        <v>180</v>
      </c>
      <c r="H17" s="38"/>
      <c r="I17" s="38" t="s">
        <v>186</v>
      </c>
      <c r="J17" s="36" t="s">
        <v>192</v>
      </c>
      <c r="K17" s="77">
        <v>4</v>
      </c>
      <c r="L17" s="79">
        <f>K17*$L$7</f>
        <v>4</v>
      </c>
    </row>
    <row r="18" spans="1:12" s="2" customFormat="1" ht="30" customHeight="1" x14ac:dyDescent="0.25">
      <c r="A18" s="26" t="s">
        <v>23</v>
      </c>
      <c r="B18" s="39" t="s">
        <v>80</v>
      </c>
      <c r="C18" s="16"/>
      <c r="D18" s="13" t="s">
        <v>109</v>
      </c>
      <c r="E18" s="97">
        <v>0.1</v>
      </c>
      <c r="F18" s="37"/>
      <c r="G18" s="37" t="s">
        <v>182</v>
      </c>
      <c r="H18" s="37"/>
      <c r="I18" s="37" t="s">
        <v>188</v>
      </c>
      <c r="J18" s="35" t="s">
        <v>192</v>
      </c>
      <c r="K18" s="76">
        <v>4</v>
      </c>
      <c r="L18" s="79">
        <f>K18*$L$7</f>
        <v>4</v>
      </c>
    </row>
    <row r="19" spans="1:12" s="2" customFormat="1" ht="30" customHeight="1" x14ac:dyDescent="0.25">
      <c r="A19" s="26" t="s">
        <v>24</v>
      </c>
      <c r="B19" s="39" t="s">
        <v>80</v>
      </c>
      <c r="C19" s="16"/>
      <c r="D19" s="4" t="s">
        <v>110</v>
      </c>
      <c r="E19" s="98">
        <v>0.01</v>
      </c>
      <c r="F19" s="38" t="s">
        <v>173</v>
      </c>
      <c r="G19" s="38"/>
      <c r="H19" s="38"/>
      <c r="I19" s="38"/>
      <c r="J19" s="36" t="s">
        <v>190</v>
      </c>
      <c r="K19" s="77">
        <v>4</v>
      </c>
      <c r="L19" s="79">
        <f>K19*$L$7</f>
        <v>4</v>
      </c>
    </row>
    <row r="20" spans="1:12" s="2" customFormat="1" ht="30" customHeight="1" x14ac:dyDescent="0.25">
      <c r="A20" s="26">
        <v>10</v>
      </c>
      <c r="B20" s="39" t="s">
        <v>80</v>
      </c>
      <c r="C20" s="16"/>
      <c r="D20" s="13" t="s">
        <v>111</v>
      </c>
      <c r="E20" s="97">
        <v>0.01</v>
      </c>
      <c r="F20" s="37" t="s">
        <v>173</v>
      </c>
      <c r="G20" s="37"/>
      <c r="H20" s="37"/>
      <c r="I20" s="37"/>
      <c r="J20" s="35"/>
      <c r="K20" s="76">
        <v>4</v>
      </c>
      <c r="L20" s="79">
        <f>K20*$L$7</f>
        <v>4</v>
      </c>
    </row>
    <row r="21" spans="1:12" s="2" customFormat="1" ht="30" customHeight="1" x14ac:dyDescent="0.25">
      <c r="A21" s="26" t="s">
        <v>25</v>
      </c>
      <c r="B21" s="39" t="s">
        <v>80</v>
      </c>
      <c r="C21" s="16"/>
      <c r="D21" s="4" t="s">
        <v>112</v>
      </c>
      <c r="E21" s="99">
        <v>1E-3</v>
      </c>
      <c r="F21" s="38" t="s">
        <v>174</v>
      </c>
      <c r="G21" s="38"/>
      <c r="H21" s="38"/>
      <c r="I21" s="38"/>
      <c r="J21" s="36"/>
      <c r="K21" s="77">
        <v>8</v>
      </c>
      <c r="L21" s="79">
        <f>K21*$L$7</f>
        <v>8</v>
      </c>
    </row>
    <row r="22" spans="1:12" s="2" customFormat="1" ht="30" customHeight="1" x14ac:dyDescent="0.25">
      <c r="A22" s="26" t="s">
        <v>25</v>
      </c>
      <c r="B22" s="39" t="s">
        <v>80</v>
      </c>
      <c r="C22" s="16"/>
      <c r="D22" s="13" t="s">
        <v>113</v>
      </c>
      <c r="E22" s="97">
        <v>0.01</v>
      </c>
      <c r="F22" s="37"/>
      <c r="G22" s="37"/>
      <c r="H22" s="37"/>
      <c r="I22" s="37"/>
      <c r="J22" s="35" t="s">
        <v>193</v>
      </c>
      <c r="K22" s="76">
        <v>1</v>
      </c>
      <c r="L22" s="79">
        <f>K22*$L$7</f>
        <v>1</v>
      </c>
    </row>
    <row r="23" spans="1:12" s="2" customFormat="1" ht="30" customHeight="1" x14ac:dyDescent="0.25">
      <c r="A23" s="26" t="s">
        <v>25</v>
      </c>
      <c r="B23" s="39" t="s">
        <v>80</v>
      </c>
      <c r="C23" s="16"/>
      <c r="D23" s="4" t="s">
        <v>114</v>
      </c>
      <c r="E23" s="98">
        <v>0.01</v>
      </c>
      <c r="F23" s="38" t="s">
        <v>173</v>
      </c>
      <c r="G23" s="38"/>
      <c r="H23" s="38"/>
      <c r="I23" s="38"/>
      <c r="J23" s="36" t="s">
        <v>190</v>
      </c>
      <c r="K23" s="77">
        <v>19</v>
      </c>
      <c r="L23" s="79">
        <f>K23*$L$7</f>
        <v>19</v>
      </c>
    </row>
    <row r="24" spans="1:12" s="2" customFormat="1" ht="30" customHeight="1" x14ac:dyDescent="0.25">
      <c r="A24" s="26" t="s">
        <v>26</v>
      </c>
      <c r="B24" s="39" t="s">
        <v>80</v>
      </c>
      <c r="C24" s="16"/>
      <c r="D24" s="13" t="s">
        <v>115</v>
      </c>
      <c r="E24" s="97">
        <v>0.05</v>
      </c>
      <c r="F24" s="37"/>
      <c r="G24" s="37" t="s">
        <v>183</v>
      </c>
      <c r="H24" s="37"/>
      <c r="I24" s="37" t="s">
        <v>187</v>
      </c>
      <c r="J24" s="35" t="s">
        <v>192</v>
      </c>
      <c r="K24" s="76">
        <v>4</v>
      </c>
      <c r="L24" s="79">
        <f>K24*$L$7</f>
        <v>4</v>
      </c>
    </row>
    <row r="25" spans="1:12" s="2" customFormat="1" ht="30" customHeight="1" x14ac:dyDescent="0.25">
      <c r="A25" s="26" t="s">
        <v>27</v>
      </c>
      <c r="B25" s="39" t="s">
        <v>82</v>
      </c>
      <c r="C25" s="16"/>
      <c r="D25" s="4" t="s">
        <v>116</v>
      </c>
      <c r="E25" s="98">
        <v>0.1</v>
      </c>
      <c r="F25" s="38"/>
      <c r="G25" s="38" t="s">
        <v>181</v>
      </c>
      <c r="H25" s="38"/>
      <c r="I25" s="38" t="s">
        <v>188</v>
      </c>
      <c r="J25" s="36" t="s">
        <v>192</v>
      </c>
      <c r="K25" s="77">
        <v>1</v>
      </c>
      <c r="L25" s="79">
        <f>K25*$L$7</f>
        <v>1</v>
      </c>
    </row>
    <row r="26" spans="1:12" s="2" customFormat="1" ht="30" customHeight="1" x14ac:dyDescent="0.25">
      <c r="A26" s="26" t="s">
        <v>28</v>
      </c>
      <c r="B26" s="39" t="s">
        <v>82</v>
      </c>
      <c r="C26" s="16"/>
      <c r="D26" s="13" t="s">
        <v>117</v>
      </c>
      <c r="E26" s="97">
        <v>0.1</v>
      </c>
      <c r="F26" s="37"/>
      <c r="G26" s="37" t="s">
        <v>180</v>
      </c>
      <c r="H26" s="37"/>
      <c r="I26" s="37" t="s">
        <v>188</v>
      </c>
      <c r="J26" s="35" t="s">
        <v>192</v>
      </c>
      <c r="K26" s="76">
        <v>4</v>
      </c>
      <c r="L26" s="79">
        <f>K26*$L$7</f>
        <v>4</v>
      </c>
    </row>
    <row r="27" spans="1:12" s="2" customFormat="1" ht="30" customHeight="1" x14ac:dyDescent="0.25">
      <c r="A27" s="26" t="s">
        <v>29</v>
      </c>
      <c r="B27" s="39" t="s">
        <v>80</v>
      </c>
      <c r="C27" s="16"/>
      <c r="D27" s="4" t="s">
        <v>118</v>
      </c>
      <c r="E27" s="98">
        <v>0.1</v>
      </c>
      <c r="F27" s="38"/>
      <c r="G27" s="38" t="s">
        <v>180</v>
      </c>
      <c r="H27" s="38"/>
      <c r="I27" s="38" t="s">
        <v>188</v>
      </c>
      <c r="J27" s="36" t="s">
        <v>192</v>
      </c>
      <c r="K27" s="77">
        <v>4</v>
      </c>
      <c r="L27" s="79">
        <f>K27*$L$7</f>
        <v>4</v>
      </c>
    </row>
    <row r="28" spans="1:12" s="2" customFormat="1" ht="30" customHeight="1" x14ac:dyDescent="0.25">
      <c r="A28" s="26" t="s">
        <v>30</v>
      </c>
      <c r="B28" s="39" t="s">
        <v>83</v>
      </c>
      <c r="C28" s="16"/>
      <c r="D28" s="13" t="s">
        <v>119</v>
      </c>
      <c r="E28" s="97">
        <v>0.2</v>
      </c>
      <c r="F28" s="37"/>
      <c r="G28" s="37" t="s">
        <v>181</v>
      </c>
      <c r="H28" s="37"/>
      <c r="I28" s="37" t="s">
        <v>188</v>
      </c>
      <c r="J28" s="35" t="s">
        <v>192</v>
      </c>
      <c r="K28" s="76">
        <v>4</v>
      </c>
      <c r="L28" s="79">
        <f>K28*$L$7</f>
        <v>4</v>
      </c>
    </row>
    <row r="29" spans="1:12" s="2" customFormat="1" ht="30" customHeight="1" x14ac:dyDescent="0.25">
      <c r="A29" s="26" t="s">
        <v>31</v>
      </c>
      <c r="B29" s="39" t="s">
        <v>83</v>
      </c>
      <c r="C29" s="16"/>
      <c r="D29" s="4" t="s">
        <v>120</v>
      </c>
      <c r="E29" s="98">
        <v>0.2</v>
      </c>
      <c r="F29" s="38"/>
      <c r="G29" s="38" t="s">
        <v>180</v>
      </c>
      <c r="H29" s="38"/>
      <c r="I29" s="38" t="s">
        <v>187</v>
      </c>
      <c r="J29" s="36" t="s">
        <v>192</v>
      </c>
      <c r="K29" s="77">
        <v>8</v>
      </c>
      <c r="L29" s="79">
        <f>K29*$L$7</f>
        <v>8</v>
      </c>
    </row>
    <row r="30" spans="1:12" s="2" customFormat="1" ht="30" customHeight="1" x14ac:dyDescent="0.25">
      <c r="A30" s="26" t="s">
        <v>32</v>
      </c>
      <c r="B30" s="39" t="s">
        <v>80</v>
      </c>
      <c r="C30" s="16"/>
      <c r="D30" s="13" t="s">
        <v>121</v>
      </c>
      <c r="E30" s="97">
        <v>0.01</v>
      </c>
      <c r="F30" s="37" t="s">
        <v>173</v>
      </c>
      <c r="G30" s="37"/>
      <c r="H30" s="37"/>
      <c r="I30" s="37"/>
      <c r="J30" s="35" t="s">
        <v>190</v>
      </c>
      <c r="K30" s="76">
        <v>2</v>
      </c>
      <c r="L30" s="79">
        <f>K30*$L$7</f>
        <v>2</v>
      </c>
    </row>
    <row r="31" spans="1:12" s="2" customFormat="1" ht="30" customHeight="1" x14ac:dyDescent="0.25">
      <c r="A31" s="26" t="s">
        <v>33</v>
      </c>
      <c r="B31" s="39" t="s">
        <v>80</v>
      </c>
      <c r="C31" s="16"/>
      <c r="D31" s="4" t="s">
        <v>122</v>
      </c>
      <c r="E31" s="98">
        <v>0.01</v>
      </c>
      <c r="F31" s="38" t="s">
        <v>173</v>
      </c>
      <c r="G31" s="38"/>
      <c r="H31" s="38"/>
      <c r="I31" s="38"/>
      <c r="J31" s="36" t="s">
        <v>190</v>
      </c>
      <c r="K31" s="77">
        <v>1</v>
      </c>
      <c r="L31" s="79">
        <f>K31*$L$7</f>
        <v>1</v>
      </c>
    </row>
    <row r="32" spans="1:12" s="2" customFormat="1" ht="30" customHeight="1" x14ac:dyDescent="0.25">
      <c r="A32" s="26" t="s">
        <v>34</v>
      </c>
      <c r="B32" s="39" t="s">
        <v>84</v>
      </c>
      <c r="C32" s="16" t="s">
        <v>89</v>
      </c>
      <c r="D32" s="13" t="s">
        <v>123</v>
      </c>
      <c r="E32" s="97">
        <v>0.2</v>
      </c>
      <c r="F32" s="37"/>
      <c r="G32" s="37" t="s">
        <v>183</v>
      </c>
      <c r="H32" s="37"/>
      <c r="I32" s="37"/>
      <c r="J32" s="35" t="s">
        <v>194</v>
      </c>
      <c r="K32" s="76">
        <v>6</v>
      </c>
      <c r="L32" s="79">
        <f>K32*$L$7</f>
        <v>6</v>
      </c>
    </row>
    <row r="33" spans="1:12" s="2" customFormat="1" ht="30" customHeight="1" x14ac:dyDescent="0.25">
      <c r="A33" s="26" t="s">
        <v>35</v>
      </c>
      <c r="B33" s="39" t="s">
        <v>80</v>
      </c>
      <c r="C33" s="16"/>
      <c r="D33" s="4" t="s">
        <v>124</v>
      </c>
      <c r="E33" s="98">
        <v>0.01</v>
      </c>
      <c r="F33" s="38" t="s">
        <v>173</v>
      </c>
      <c r="G33" s="38"/>
      <c r="H33" s="38"/>
      <c r="I33" s="38"/>
      <c r="J33" s="36" t="s">
        <v>190</v>
      </c>
      <c r="K33" s="77">
        <v>3</v>
      </c>
      <c r="L33" s="79">
        <f>K33*$L$7</f>
        <v>3</v>
      </c>
    </row>
    <row r="34" spans="1:12" s="2" customFormat="1" ht="30" customHeight="1" x14ac:dyDescent="0.25">
      <c r="A34" s="26" t="s">
        <v>36</v>
      </c>
      <c r="B34" s="39" t="s">
        <v>80</v>
      </c>
      <c r="C34" s="16"/>
      <c r="D34" s="13" t="s">
        <v>125</v>
      </c>
      <c r="E34" s="100">
        <v>1E-3</v>
      </c>
      <c r="F34" s="37" t="s">
        <v>173</v>
      </c>
      <c r="G34" s="37"/>
      <c r="H34" s="37"/>
      <c r="I34" s="37"/>
      <c r="J34" s="35"/>
      <c r="K34" s="76">
        <v>8</v>
      </c>
      <c r="L34" s="79">
        <f>K34*$L$7</f>
        <v>8</v>
      </c>
    </row>
    <row r="35" spans="1:12" s="2" customFormat="1" ht="30" customHeight="1" x14ac:dyDescent="0.25">
      <c r="A35" s="26" t="s">
        <v>37</v>
      </c>
      <c r="B35" s="39" t="s">
        <v>80</v>
      </c>
      <c r="C35" s="16"/>
      <c r="D35" s="4" t="s">
        <v>126</v>
      </c>
      <c r="E35" s="98">
        <v>0.01</v>
      </c>
      <c r="F35" s="38" t="s">
        <v>173</v>
      </c>
      <c r="G35" s="38"/>
      <c r="H35" s="38"/>
      <c r="I35" s="38"/>
      <c r="J35" s="36" t="s">
        <v>190</v>
      </c>
      <c r="K35" s="77">
        <v>4</v>
      </c>
      <c r="L35" s="79">
        <f>K35*$L$7</f>
        <v>4</v>
      </c>
    </row>
    <row r="36" spans="1:12" s="2" customFormat="1" ht="30" customHeight="1" x14ac:dyDescent="0.25">
      <c r="A36" s="26" t="s">
        <v>38</v>
      </c>
      <c r="B36" s="39" t="s">
        <v>80</v>
      </c>
      <c r="C36" s="16"/>
      <c r="D36" s="13" t="s">
        <v>127</v>
      </c>
      <c r="E36" s="97">
        <v>0.1</v>
      </c>
      <c r="F36" s="37"/>
      <c r="G36" s="37" t="s">
        <v>181</v>
      </c>
      <c r="H36" s="37"/>
      <c r="I36" s="37" t="s">
        <v>187</v>
      </c>
      <c r="J36" s="35" t="s">
        <v>192</v>
      </c>
      <c r="K36" s="76">
        <v>9</v>
      </c>
      <c r="L36" s="79">
        <f>K36*$L$7</f>
        <v>9</v>
      </c>
    </row>
    <row r="37" spans="1:12" s="2" customFormat="1" ht="30" customHeight="1" x14ac:dyDescent="0.25">
      <c r="A37" s="26" t="s">
        <v>39</v>
      </c>
      <c r="B37" s="39" t="s">
        <v>80</v>
      </c>
      <c r="C37" s="16"/>
      <c r="D37" s="4" t="s">
        <v>128</v>
      </c>
      <c r="E37" s="98">
        <v>0.1</v>
      </c>
      <c r="F37" s="38"/>
      <c r="G37" s="38" t="s">
        <v>180</v>
      </c>
      <c r="H37" s="38"/>
      <c r="I37" s="38" t="s">
        <v>187</v>
      </c>
      <c r="J37" s="36" t="s">
        <v>192</v>
      </c>
      <c r="K37" s="77">
        <v>14</v>
      </c>
      <c r="L37" s="79">
        <f>K37*$L$7</f>
        <v>14</v>
      </c>
    </row>
    <row r="38" spans="1:12" s="2" customFormat="1" ht="30" customHeight="1" x14ac:dyDescent="0.25">
      <c r="A38" s="26" t="s">
        <v>40</v>
      </c>
      <c r="B38" s="39" t="s">
        <v>80</v>
      </c>
      <c r="C38" s="16"/>
      <c r="D38" s="13" t="s">
        <v>129</v>
      </c>
      <c r="E38" s="97">
        <v>0.01</v>
      </c>
      <c r="F38" s="37" t="s">
        <v>173</v>
      </c>
      <c r="G38" s="37"/>
      <c r="H38" s="37"/>
      <c r="I38" s="37"/>
      <c r="J38" s="35" t="s">
        <v>190</v>
      </c>
      <c r="K38" s="76">
        <v>2</v>
      </c>
      <c r="L38" s="79">
        <f>K38*$L$7</f>
        <v>2</v>
      </c>
    </row>
    <row r="39" spans="1:12" s="2" customFormat="1" ht="30" customHeight="1" x14ac:dyDescent="0.25">
      <c r="A39" s="26" t="s">
        <v>41</v>
      </c>
      <c r="B39" s="39" t="s">
        <v>80</v>
      </c>
      <c r="C39" s="16"/>
      <c r="D39" s="4" t="s">
        <v>130</v>
      </c>
      <c r="E39" s="98">
        <v>0.1</v>
      </c>
      <c r="F39" s="38"/>
      <c r="G39" s="38" t="s">
        <v>181</v>
      </c>
      <c r="H39" s="38"/>
      <c r="I39" s="38" t="s">
        <v>186</v>
      </c>
      <c r="J39" s="36" t="s">
        <v>192</v>
      </c>
      <c r="K39" s="77">
        <v>3</v>
      </c>
      <c r="L39" s="79">
        <f>K39*$L$7</f>
        <v>3</v>
      </c>
    </row>
    <row r="40" spans="1:12" s="2" customFormat="1" ht="30" customHeight="1" x14ac:dyDescent="0.25">
      <c r="A40" s="26">
        <v>220</v>
      </c>
      <c r="B40" s="39" t="s">
        <v>80</v>
      </c>
      <c r="C40" s="16"/>
      <c r="D40" s="13" t="s">
        <v>131</v>
      </c>
      <c r="E40" s="97">
        <v>0.01</v>
      </c>
      <c r="F40" s="37" t="s">
        <v>173</v>
      </c>
      <c r="G40" s="37"/>
      <c r="H40" s="37"/>
      <c r="I40" s="37"/>
      <c r="J40" s="35" t="s">
        <v>190</v>
      </c>
      <c r="K40" s="76">
        <v>8</v>
      </c>
      <c r="L40" s="79">
        <f>K40*$L$7</f>
        <v>8</v>
      </c>
    </row>
    <row r="41" spans="1:12" s="2" customFormat="1" ht="30" customHeight="1" x14ac:dyDescent="0.25">
      <c r="A41" s="26" t="s">
        <v>42</v>
      </c>
      <c r="B41" s="39" t="s">
        <v>80</v>
      </c>
      <c r="C41" s="16"/>
      <c r="D41" s="4" t="s">
        <v>132</v>
      </c>
      <c r="E41" s="98">
        <v>0.1</v>
      </c>
      <c r="F41" s="38"/>
      <c r="G41" s="38" t="s">
        <v>180</v>
      </c>
      <c r="H41" s="38"/>
      <c r="I41" s="38" t="s">
        <v>186</v>
      </c>
      <c r="J41" s="36" t="s">
        <v>192</v>
      </c>
      <c r="K41" s="77">
        <v>2</v>
      </c>
      <c r="L41" s="79">
        <f>K41*$L$7</f>
        <v>2</v>
      </c>
    </row>
    <row r="42" spans="1:12" s="2" customFormat="1" ht="30" customHeight="1" x14ac:dyDescent="0.25">
      <c r="A42" s="26" t="s">
        <v>43</v>
      </c>
      <c r="B42" s="39" t="s">
        <v>80</v>
      </c>
      <c r="C42" s="16"/>
      <c r="D42" s="13" t="s">
        <v>133</v>
      </c>
      <c r="E42" s="97">
        <v>0.01</v>
      </c>
      <c r="F42" s="37" t="s">
        <v>173</v>
      </c>
      <c r="G42" s="37"/>
      <c r="H42" s="37"/>
      <c r="I42" s="37"/>
      <c r="J42" s="35" t="s">
        <v>190</v>
      </c>
      <c r="K42" s="76">
        <v>2</v>
      </c>
      <c r="L42" s="79">
        <f>K42*$L$7</f>
        <v>2</v>
      </c>
    </row>
    <row r="43" spans="1:12" s="2" customFormat="1" ht="30" customHeight="1" x14ac:dyDescent="0.25">
      <c r="A43" s="26">
        <v>549</v>
      </c>
      <c r="B43" s="39" t="s">
        <v>80</v>
      </c>
      <c r="C43" s="16"/>
      <c r="D43" s="4" t="s">
        <v>134</v>
      </c>
      <c r="E43" s="98">
        <v>0.01</v>
      </c>
      <c r="F43" s="38" t="s">
        <v>173</v>
      </c>
      <c r="G43" s="38"/>
      <c r="H43" s="38"/>
      <c r="I43" s="38"/>
      <c r="J43" s="36"/>
      <c r="K43" s="77">
        <v>4</v>
      </c>
      <c r="L43" s="79">
        <f>K43*$L$7</f>
        <v>4</v>
      </c>
    </row>
    <row r="44" spans="1:12" s="2" customFormat="1" ht="30" customHeight="1" x14ac:dyDescent="0.25">
      <c r="A44" s="26" t="s">
        <v>44</v>
      </c>
      <c r="B44" s="39" t="s">
        <v>80</v>
      </c>
      <c r="C44" s="16"/>
      <c r="D44" s="13" t="s">
        <v>135</v>
      </c>
      <c r="E44" s="97">
        <v>0.01</v>
      </c>
      <c r="F44" s="37" t="s">
        <v>173</v>
      </c>
      <c r="G44" s="37"/>
      <c r="H44" s="37"/>
      <c r="I44" s="37"/>
      <c r="J44" s="35" t="s">
        <v>190</v>
      </c>
      <c r="K44" s="76">
        <v>3</v>
      </c>
      <c r="L44" s="79">
        <f>K44*$L$7</f>
        <v>3</v>
      </c>
    </row>
    <row r="45" spans="1:12" s="2" customFormat="1" ht="30" customHeight="1" x14ac:dyDescent="0.25">
      <c r="A45" s="26" t="s">
        <v>45</v>
      </c>
      <c r="B45" s="39"/>
      <c r="C45" s="16" t="s">
        <v>90</v>
      </c>
      <c r="D45" s="4" t="s">
        <v>136</v>
      </c>
      <c r="E45" s="38"/>
      <c r="F45" s="38"/>
      <c r="G45" s="38"/>
      <c r="H45" s="38"/>
      <c r="I45" s="38"/>
      <c r="J45" s="36" t="s">
        <v>195</v>
      </c>
      <c r="K45" s="77">
        <v>3</v>
      </c>
      <c r="L45" s="79">
        <f>K45*$L$7</f>
        <v>3</v>
      </c>
    </row>
    <row r="46" spans="1:12" s="2" customFormat="1" ht="30" customHeight="1" x14ac:dyDescent="0.25">
      <c r="A46" s="26" t="s">
        <v>46</v>
      </c>
      <c r="B46" s="39"/>
      <c r="C46" s="16" t="s">
        <v>91</v>
      </c>
      <c r="D46" s="13" t="s">
        <v>137</v>
      </c>
      <c r="E46" s="97">
        <v>0.2</v>
      </c>
      <c r="F46" s="37"/>
      <c r="G46" s="37" t="s">
        <v>180</v>
      </c>
      <c r="H46" s="37"/>
      <c r="I46" s="37"/>
      <c r="J46" s="35" t="s">
        <v>196</v>
      </c>
      <c r="K46" s="76">
        <v>6</v>
      </c>
      <c r="L46" s="79">
        <f>K46*$L$7</f>
        <v>6</v>
      </c>
    </row>
    <row r="47" spans="1:12" s="2" customFormat="1" ht="30" customHeight="1" x14ac:dyDescent="0.25">
      <c r="A47" s="26" t="s">
        <v>47</v>
      </c>
      <c r="B47" s="39"/>
      <c r="C47" s="16"/>
      <c r="D47" s="4" t="s">
        <v>138</v>
      </c>
      <c r="E47" s="38"/>
      <c r="F47" s="38"/>
      <c r="G47" s="38"/>
      <c r="H47" s="38"/>
      <c r="I47" s="38"/>
      <c r="J47" s="36" t="s">
        <v>197</v>
      </c>
      <c r="K47" s="77">
        <v>1</v>
      </c>
      <c r="L47" s="79">
        <f>K47*$L$7</f>
        <v>1</v>
      </c>
    </row>
    <row r="48" spans="1:12" s="2" customFormat="1" ht="30" customHeight="1" x14ac:dyDescent="0.25">
      <c r="A48" s="26" t="s">
        <v>48</v>
      </c>
      <c r="B48" s="39"/>
      <c r="C48" s="16" t="s">
        <v>92</v>
      </c>
      <c r="D48" s="13" t="s">
        <v>139</v>
      </c>
      <c r="E48" s="37"/>
      <c r="F48" s="37"/>
      <c r="G48" s="37"/>
      <c r="H48" s="37"/>
      <c r="I48" s="37"/>
      <c r="J48" s="35" t="s">
        <v>198</v>
      </c>
      <c r="K48" s="76">
        <v>1</v>
      </c>
      <c r="L48" s="79">
        <f>K48*$L$7</f>
        <v>1</v>
      </c>
    </row>
    <row r="49" spans="1:12" s="2" customFormat="1" ht="30" customHeight="1" x14ac:dyDescent="0.25">
      <c r="A49" s="26" t="s">
        <v>49</v>
      </c>
      <c r="B49" s="39" t="s">
        <v>82</v>
      </c>
      <c r="C49" s="16"/>
      <c r="D49" s="4" t="s">
        <v>140</v>
      </c>
      <c r="E49" s="98">
        <v>0.01</v>
      </c>
      <c r="F49" s="38" t="s">
        <v>175</v>
      </c>
      <c r="G49" s="38"/>
      <c r="H49" s="38"/>
      <c r="I49" s="38"/>
      <c r="J49" s="36" t="s">
        <v>199</v>
      </c>
      <c r="K49" s="77">
        <v>1</v>
      </c>
      <c r="L49" s="79">
        <f>K49*$L$7</f>
        <v>1</v>
      </c>
    </row>
    <row r="50" spans="1:12" s="2" customFormat="1" ht="30" customHeight="1" x14ac:dyDescent="0.25">
      <c r="A50" s="26" t="s">
        <v>50</v>
      </c>
      <c r="B50" s="39" t="s">
        <v>85</v>
      </c>
      <c r="C50" s="16"/>
      <c r="D50" s="13" t="s">
        <v>141</v>
      </c>
      <c r="E50" s="37"/>
      <c r="F50" s="37" t="s">
        <v>176</v>
      </c>
      <c r="G50" s="37"/>
      <c r="H50" s="37"/>
      <c r="I50" s="37"/>
      <c r="J50" s="35" t="s">
        <v>200</v>
      </c>
      <c r="K50" s="76">
        <v>8</v>
      </c>
      <c r="L50" s="79">
        <f>K50*$L$7</f>
        <v>8</v>
      </c>
    </row>
    <row r="51" spans="1:12" s="2" customFormat="1" ht="30" customHeight="1" x14ac:dyDescent="0.25">
      <c r="A51" s="26" t="s">
        <v>51</v>
      </c>
      <c r="B51" s="39" t="s">
        <v>86</v>
      </c>
      <c r="C51" s="16" t="s">
        <v>93</v>
      </c>
      <c r="D51" s="4" t="s">
        <v>142</v>
      </c>
      <c r="E51" s="38"/>
      <c r="F51" s="38"/>
      <c r="G51" s="38"/>
      <c r="H51" s="38"/>
      <c r="I51" s="38"/>
      <c r="J51" s="36" t="s">
        <v>201</v>
      </c>
      <c r="K51" s="77">
        <v>2</v>
      </c>
      <c r="L51" s="79">
        <f>K51*$L$7</f>
        <v>2</v>
      </c>
    </row>
    <row r="52" spans="1:12" s="2" customFormat="1" ht="30" customHeight="1" x14ac:dyDescent="0.25">
      <c r="A52" s="26" t="s">
        <v>52</v>
      </c>
      <c r="B52" s="39"/>
      <c r="C52" s="16" t="s">
        <v>94</v>
      </c>
      <c r="D52" s="13" t="s">
        <v>143</v>
      </c>
      <c r="E52" s="97">
        <v>0.2</v>
      </c>
      <c r="F52" s="37"/>
      <c r="G52" s="37"/>
      <c r="H52" s="37"/>
      <c r="I52" s="37"/>
      <c r="J52" s="35" t="s">
        <v>202</v>
      </c>
      <c r="K52" s="76">
        <v>1</v>
      </c>
      <c r="L52" s="79">
        <f>K52*$L$7</f>
        <v>1</v>
      </c>
    </row>
    <row r="53" spans="1:12" s="2" customFormat="1" ht="30" customHeight="1" x14ac:dyDescent="0.25">
      <c r="A53" s="26" t="s">
        <v>53</v>
      </c>
      <c r="B53" s="39"/>
      <c r="C53" s="16" t="s">
        <v>95</v>
      </c>
      <c r="D53" s="4" t="s">
        <v>144</v>
      </c>
      <c r="E53" s="38"/>
      <c r="F53" s="38"/>
      <c r="G53" s="38"/>
      <c r="H53" s="38"/>
      <c r="I53" s="38"/>
      <c r="J53" s="36" t="s">
        <v>203</v>
      </c>
      <c r="K53" s="77">
        <v>2</v>
      </c>
      <c r="L53" s="79">
        <f>K53*$L$7</f>
        <v>2</v>
      </c>
    </row>
    <row r="54" spans="1:12" s="2" customFormat="1" ht="30" customHeight="1" x14ac:dyDescent="0.25">
      <c r="A54" s="26" t="s">
        <v>54</v>
      </c>
      <c r="B54" s="39"/>
      <c r="C54" s="16"/>
      <c r="D54" s="13" t="s">
        <v>145</v>
      </c>
      <c r="E54" s="37"/>
      <c r="F54" s="37"/>
      <c r="G54" s="37"/>
      <c r="H54" s="37"/>
      <c r="I54" s="37"/>
      <c r="J54" s="35" t="s">
        <v>204</v>
      </c>
      <c r="K54" s="76">
        <v>1</v>
      </c>
      <c r="L54" s="79">
        <f>K54*$L$7</f>
        <v>1</v>
      </c>
    </row>
    <row r="55" spans="1:12" s="2" customFormat="1" ht="30" customHeight="1" x14ac:dyDescent="0.25">
      <c r="A55" s="26" t="s">
        <v>55</v>
      </c>
      <c r="B55" s="39"/>
      <c r="C55" s="16"/>
      <c r="D55" s="4" t="s">
        <v>146</v>
      </c>
      <c r="E55" s="38"/>
      <c r="F55" s="38"/>
      <c r="G55" s="38"/>
      <c r="H55" s="38"/>
      <c r="I55" s="38"/>
      <c r="J55" s="36" t="s">
        <v>205</v>
      </c>
      <c r="K55" s="77">
        <v>3</v>
      </c>
      <c r="L55" s="79">
        <f>K55*$L$7</f>
        <v>3</v>
      </c>
    </row>
    <row r="56" spans="1:12" s="2" customFormat="1" ht="30" customHeight="1" x14ac:dyDescent="0.25">
      <c r="A56" s="26" t="s">
        <v>55</v>
      </c>
      <c r="B56" s="39"/>
      <c r="C56" s="16"/>
      <c r="D56" s="13" t="s">
        <v>147</v>
      </c>
      <c r="E56" s="37"/>
      <c r="F56" s="37"/>
      <c r="G56" s="37"/>
      <c r="H56" s="37"/>
      <c r="I56" s="37"/>
      <c r="J56" s="35" t="s">
        <v>206</v>
      </c>
      <c r="K56" s="76">
        <v>4</v>
      </c>
      <c r="L56" s="79">
        <f>K56*$L$7</f>
        <v>4</v>
      </c>
    </row>
    <row r="57" spans="1:12" s="2" customFormat="1" ht="30" customHeight="1" x14ac:dyDescent="0.25">
      <c r="A57" s="26" t="s">
        <v>56</v>
      </c>
      <c r="B57" s="39"/>
      <c r="C57" s="16" t="s">
        <v>95</v>
      </c>
      <c r="D57" s="4" t="s">
        <v>148</v>
      </c>
      <c r="E57" s="38"/>
      <c r="F57" s="38"/>
      <c r="G57" s="38"/>
      <c r="H57" s="38"/>
      <c r="I57" s="38"/>
      <c r="J57" s="36" t="s">
        <v>207</v>
      </c>
      <c r="K57" s="77">
        <v>1</v>
      </c>
      <c r="L57" s="79">
        <f>K57*$L$7</f>
        <v>1</v>
      </c>
    </row>
    <row r="58" spans="1:12" s="2" customFormat="1" ht="30" customHeight="1" x14ac:dyDescent="0.25">
      <c r="A58" s="26" t="s">
        <v>57</v>
      </c>
      <c r="B58" s="39"/>
      <c r="C58" s="16" t="s">
        <v>95</v>
      </c>
      <c r="D58" s="13" t="s">
        <v>149</v>
      </c>
      <c r="E58" s="37"/>
      <c r="F58" s="37"/>
      <c r="G58" s="37"/>
      <c r="H58" s="37"/>
      <c r="I58" s="37"/>
      <c r="J58" s="35" t="s">
        <v>208</v>
      </c>
      <c r="K58" s="76">
        <v>4</v>
      </c>
      <c r="L58" s="79">
        <f>K58*$L$7</f>
        <v>4</v>
      </c>
    </row>
    <row r="59" spans="1:12" s="2" customFormat="1" ht="30" customHeight="1" x14ac:dyDescent="0.25">
      <c r="A59" s="26" t="s">
        <v>58</v>
      </c>
      <c r="B59" s="39"/>
      <c r="C59" s="16"/>
      <c r="D59" s="4" t="s">
        <v>150</v>
      </c>
      <c r="E59" s="38"/>
      <c r="F59" s="38"/>
      <c r="G59" s="38"/>
      <c r="H59" s="38"/>
      <c r="I59" s="38"/>
      <c r="J59" s="36"/>
      <c r="K59" s="77">
        <v>1</v>
      </c>
      <c r="L59" s="79">
        <f>K59*$L$7</f>
        <v>1</v>
      </c>
    </row>
    <row r="60" spans="1:12" s="2" customFormat="1" ht="30" customHeight="1" x14ac:dyDescent="0.25">
      <c r="A60" s="26" t="s">
        <v>59</v>
      </c>
      <c r="B60" s="39"/>
      <c r="C60" s="16" t="s">
        <v>95</v>
      </c>
      <c r="D60" s="13" t="s">
        <v>151</v>
      </c>
      <c r="E60" s="37"/>
      <c r="F60" s="37"/>
      <c r="G60" s="37"/>
      <c r="H60" s="37"/>
      <c r="I60" s="37"/>
      <c r="J60" s="35" t="s">
        <v>209</v>
      </c>
      <c r="K60" s="76">
        <v>1</v>
      </c>
      <c r="L60" s="79">
        <f>K60*$L$7</f>
        <v>1</v>
      </c>
    </row>
    <row r="61" spans="1:12" s="2" customFormat="1" ht="30" customHeight="1" x14ac:dyDescent="0.25">
      <c r="A61" s="26" t="s">
        <v>60</v>
      </c>
      <c r="B61" s="39"/>
      <c r="C61" s="16"/>
      <c r="D61" s="4" t="s">
        <v>152</v>
      </c>
      <c r="E61" s="38"/>
      <c r="F61" s="38"/>
      <c r="G61" s="38"/>
      <c r="H61" s="38"/>
      <c r="I61" s="38"/>
      <c r="J61" s="36" t="s">
        <v>210</v>
      </c>
      <c r="K61" s="77">
        <v>17</v>
      </c>
      <c r="L61" s="79">
        <f>K61*$L$7</f>
        <v>17</v>
      </c>
    </row>
    <row r="62" spans="1:12" s="2" customFormat="1" ht="30" customHeight="1" x14ac:dyDescent="0.25">
      <c r="A62" s="26" t="s">
        <v>61</v>
      </c>
      <c r="B62" s="39"/>
      <c r="C62" s="16" t="s">
        <v>96</v>
      </c>
      <c r="D62" s="13" t="s">
        <v>153</v>
      </c>
      <c r="E62" s="37"/>
      <c r="F62" s="37"/>
      <c r="G62" s="37"/>
      <c r="H62" s="37"/>
      <c r="I62" s="37"/>
      <c r="J62" s="35" t="s">
        <v>211</v>
      </c>
      <c r="K62" s="76">
        <v>8</v>
      </c>
      <c r="L62" s="79">
        <f>K62*$L$7</f>
        <v>8</v>
      </c>
    </row>
    <row r="63" spans="1:12" s="2" customFormat="1" ht="30" customHeight="1" x14ac:dyDescent="0.25">
      <c r="A63" s="26" t="s">
        <v>62</v>
      </c>
      <c r="B63" s="39"/>
      <c r="C63" s="16"/>
      <c r="D63" s="4" t="s">
        <v>154</v>
      </c>
      <c r="E63" s="38"/>
      <c r="F63" s="38"/>
      <c r="G63" s="38"/>
      <c r="H63" s="38"/>
      <c r="I63" s="38"/>
      <c r="J63" s="36" t="s">
        <v>212</v>
      </c>
      <c r="K63" s="77">
        <v>7</v>
      </c>
      <c r="L63" s="79">
        <f>K63*$L$7</f>
        <v>7</v>
      </c>
    </row>
    <row r="64" spans="1:12" s="2" customFormat="1" ht="30" customHeight="1" x14ac:dyDescent="0.25">
      <c r="A64" s="26" t="s">
        <v>63</v>
      </c>
      <c r="B64" s="39" t="s">
        <v>83</v>
      </c>
      <c r="C64" s="16"/>
      <c r="D64" s="13" t="s">
        <v>155</v>
      </c>
      <c r="E64" s="97">
        <v>0.01</v>
      </c>
      <c r="F64" s="37" t="s">
        <v>177</v>
      </c>
      <c r="G64" s="37"/>
      <c r="H64" s="37"/>
      <c r="I64" s="37"/>
      <c r="J64" s="35" t="s">
        <v>213</v>
      </c>
      <c r="K64" s="76">
        <v>3</v>
      </c>
      <c r="L64" s="79">
        <f>K64*$L$7</f>
        <v>3</v>
      </c>
    </row>
    <row r="65" spans="1:12" s="2" customFormat="1" ht="30" customHeight="1" x14ac:dyDescent="0.25">
      <c r="A65" s="26" t="s">
        <v>64</v>
      </c>
      <c r="B65" s="39"/>
      <c r="C65" s="16" t="s">
        <v>97</v>
      </c>
      <c r="D65" s="4" t="s">
        <v>156</v>
      </c>
      <c r="E65" s="38"/>
      <c r="F65" s="38"/>
      <c r="G65" s="38"/>
      <c r="H65" s="38"/>
      <c r="I65" s="38"/>
      <c r="J65" s="36" t="s">
        <v>214</v>
      </c>
      <c r="K65" s="77">
        <v>2</v>
      </c>
      <c r="L65" s="79">
        <f>K65*$L$7</f>
        <v>2</v>
      </c>
    </row>
    <row r="66" spans="1:12" s="2" customFormat="1" ht="30" customHeight="1" x14ac:dyDescent="0.25">
      <c r="A66" s="26" t="s">
        <v>65</v>
      </c>
      <c r="B66" s="39" t="s">
        <v>80</v>
      </c>
      <c r="C66" s="16"/>
      <c r="D66" s="13" t="s">
        <v>157</v>
      </c>
      <c r="E66" s="97">
        <v>0.01</v>
      </c>
      <c r="F66" s="37" t="s">
        <v>173</v>
      </c>
      <c r="G66" s="37"/>
      <c r="H66" s="37"/>
      <c r="I66" s="37"/>
      <c r="J66" s="35" t="s">
        <v>190</v>
      </c>
      <c r="K66" s="76">
        <v>2</v>
      </c>
      <c r="L66" s="79">
        <f>K66*$L$7</f>
        <v>2</v>
      </c>
    </row>
    <row r="67" spans="1:12" s="2" customFormat="1" ht="30" customHeight="1" x14ac:dyDescent="0.25">
      <c r="A67" s="26" t="s">
        <v>66</v>
      </c>
      <c r="B67" s="39" t="s">
        <v>80</v>
      </c>
      <c r="C67" s="16"/>
      <c r="D67" s="4" t="s">
        <v>158</v>
      </c>
      <c r="E67" s="38"/>
      <c r="F67" s="38"/>
      <c r="G67" s="38"/>
      <c r="H67" s="38"/>
      <c r="I67" s="38"/>
      <c r="J67" s="36" t="s">
        <v>215</v>
      </c>
      <c r="K67" s="77">
        <v>4</v>
      </c>
      <c r="L67" s="79">
        <f>K67*$L$7</f>
        <v>4</v>
      </c>
    </row>
    <row r="68" spans="1:12" s="2" customFormat="1" ht="30" customHeight="1" x14ac:dyDescent="0.25">
      <c r="A68" s="26" t="s">
        <v>67</v>
      </c>
      <c r="B68" s="39"/>
      <c r="C68" s="16"/>
      <c r="D68" s="13" t="s">
        <v>159</v>
      </c>
      <c r="E68" s="37"/>
      <c r="F68" s="37"/>
      <c r="G68" s="37"/>
      <c r="H68" s="37"/>
      <c r="I68" s="37"/>
      <c r="J68" s="35" t="s">
        <v>216</v>
      </c>
      <c r="K68" s="76">
        <v>1</v>
      </c>
      <c r="L68" s="79">
        <f>K68*$L$7</f>
        <v>1</v>
      </c>
    </row>
    <row r="69" spans="1:12" s="2" customFormat="1" ht="30" customHeight="1" x14ac:dyDescent="0.25">
      <c r="A69" s="26" t="s">
        <v>68</v>
      </c>
      <c r="B69" s="39" t="s">
        <v>87</v>
      </c>
      <c r="C69" s="16"/>
      <c r="D69" s="4" t="s">
        <v>160</v>
      </c>
      <c r="E69" s="38"/>
      <c r="F69" s="38"/>
      <c r="G69" s="38"/>
      <c r="H69" s="38"/>
      <c r="I69" s="38"/>
      <c r="J69" s="36" t="s">
        <v>217</v>
      </c>
      <c r="K69" s="77">
        <v>1</v>
      </c>
      <c r="L69" s="79">
        <f>K69*$L$7</f>
        <v>1</v>
      </c>
    </row>
    <row r="70" spans="1:12" s="2" customFormat="1" ht="30" customHeight="1" x14ac:dyDescent="0.25">
      <c r="A70" s="26" t="s">
        <v>69</v>
      </c>
      <c r="B70" s="39"/>
      <c r="C70" s="16" t="s">
        <v>96</v>
      </c>
      <c r="D70" s="13" t="s">
        <v>161</v>
      </c>
      <c r="E70" s="97">
        <v>0.2</v>
      </c>
      <c r="F70" s="37"/>
      <c r="G70" s="37"/>
      <c r="H70" s="37"/>
      <c r="I70" s="37"/>
      <c r="J70" s="35" t="s">
        <v>218</v>
      </c>
      <c r="K70" s="76">
        <v>2</v>
      </c>
      <c r="L70" s="79">
        <f>K70*$L$7</f>
        <v>2</v>
      </c>
    </row>
    <row r="71" spans="1:12" s="2" customFormat="1" ht="30" customHeight="1" x14ac:dyDescent="0.25">
      <c r="A71" s="26" t="s">
        <v>70</v>
      </c>
      <c r="B71" s="39"/>
      <c r="C71" s="16" t="s">
        <v>98</v>
      </c>
      <c r="D71" s="4" t="s">
        <v>162</v>
      </c>
      <c r="E71" s="38"/>
      <c r="F71" s="38"/>
      <c r="G71" s="38"/>
      <c r="H71" s="38"/>
      <c r="I71" s="38"/>
      <c r="J71" s="36" t="s">
        <v>219</v>
      </c>
      <c r="K71" s="77">
        <v>13</v>
      </c>
      <c r="L71" s="79">
        <f>K71*$L$7</f>
        <v>13</v>
      </c>
    </row>
    <row r="72" spans="1:12" s="2" customFormat="1" ht="30" customHeight="1" x14ac:dyDescent="0.25">
      <c r="A72" s="26" t="s">
        <v>71</v>
      </c>
      <c r="B72" s="39"/>
      <c r="C72" s="16" t="s">
        <v>95</v>
      </c>
      <c r="D72" s="13" t="s">
        <v>163</v>
      </c>
      <c r="E72" s="37"/>
      <c r="F72" s="37"/>
      <c r="G72" s="37"/>
      <c r="H72" s="37"/>
      <c r="I72" s="37"/>
      <c r="J72" s="35" t="s">
        <v>220</v>
      </c>
      <c r="K72" s="76">
        <v>1</v>
      </c>
      <c r="L72" s="79">
        <f>K72*$L$7</f>
        <v>1</v>
      </c>
    </row>
    <row r="73" spans="1:12" s="2" customFormat="1" ht="30" customHeight="1" x14ac:dyDescent="0.25">
      <c r="A73" s="26" t="s">
        <v>72</v>
      </c>
      <c r="B73" s="39"/>
      <c r="C73" s="16" t="s">
        <v>95</v>
      </c>
      <c r="D73" s="4" t="s">
        <v>164</v>
      </c>
      <c r="E73" s="38"/>
      <c r="F73" s="38"/>
      <c r="G73" s="38"/>
      <c r="H73" s="38"/>
      <c r="I73" s="38"/>
      <c r="J73" s="36" t="s">
        <v>221</v>
      </c>
      <c r="K73" s="77">
        <v>2</v>
      </c>
      <c r="L73" s="79">
        <f>K73*$L$7</f>
        <v>2</v>
      </c>
    </row>
    <row r="74" spans="1:12" s="2" customFormat="1" ht="30" customHeight="1" x14ac:dyDescent="0.25">
      <c r="A74" s="26" t="s">
        <v>73</v>
      </c>
      <c r="B74" s="39"/>
      <c r="C74" s="16" t="s">
        <v>95</v>
      </c>
      <c r="D74" s="13" t="s">
        <v>165</v>
      </c>
      <c r="E74" s="37"/>
      <c r="F74" s="37"/>
      <c r="G74" s="37"/>
      <c r="H74" s="37"/>
      <c r="I74" s="37"/>
      <c r="J74" s="35" t="s">
        <v>222</v>
      </c>
      <c r="K74" s="76">
        <v>2</v>
      </c>
      <c r="L74" s="79">
        <f>K74*$L$7</f>
        <v>2</v>
      </c>
    </row>
    <row r="75" spans="1:12" s="2" customFormat="1" ht="30" customHeight="1" x14ac:dyDescent="0.25">
      <c r="A75" s="26" t="s">
        <v>74</v>
      </c>
      <c r="B75" s="39"/>
      <c r="C75" s="16" t="s">
        <v>95</v>
      </c>
      <c r="D75" s="4" t="s">
        <v>166</v>
      </c>
      <c r="E75" s="38"/>
      <c r="F75" s="38"/>
      <c r="G75" s="38"/>
      <c r="H75" s="38"/>
      <c r="I75" s="38"/>
      <c r="J75" s="36" t="s">
        <v>223</v>
      </c>
      <c r="K75" s="77">
        <v>1</v>
      </c>
      <c r="L75" s="79">
        <f>K75*$L$7</f>
        <v>1</v>
      </c>
    </row>
    <row r="76" spans="1:12" s="2" customFormat="1" ht="30" customHeight="1" x14ac:dyDescent="0.25">
      <c r="A76" s="26" t="s">
        <v>75</v>
      </c>
      <c r="B76" s="39"/>
      <c r="C76" s="16" t="s">
        <v>95</v>
      </c>
      <c r="D76" s="13" t="s">
        <v>167</v>
      </c>
      <c r="E76" s="37"/>
      <c r="F76" s="37"/>
      <c r="G76" s="37"/>
      <c r="H76" s="37"/>
      <c r="I76" s="37"/>
      <c r="J76" s="35" t="s">
        <v>224</v>
      </c>
      <c r="K76" s="76">
        <v>2</v>
      </c>
      <c r="L76" s="79">
        <f>K76*$L$7</f>
        <v>2</v>
      </c>
    </row>
    <row r="77" spans="1:12" s="2" customFormat="1" ht="30" customHeight="1" x14ac:dyDescent="0.25">
      <c r="A77" s="26" t="s">
        <v>76</v>
      </c>
      <c r="B77" s="39"/>
      <c r="C77" s="16" t="s">
        <v>99</v>
      </c>
      <c r="D77" s="4" t="s">
        <v>168</v>
      </c>
      <c r="E77" s="38"/>
      <c r="F77" s="38" t="s">
        <v>178</v>
      </c>
      <c r="G77" s="38"/>
      <c r="H77" s="38"/>
      <c r="I77" s="38"/>
      <c r="J77" s="36" t="s">
        <v>225</v>
      </c>
      <c r="K77" s="77">
        <v>1</v>
      </c>
      <c r="L77" s="79">
        <f>K77*$L$7</f>
        <v>1</v>
      </c>
    </row>
    <row r="78" spans="1:12" s="2" customFormat="1" ht="30" customHeight="1" x14ac:dyDescent="0.25">
      <c r="A78" s="26" t="s">
        <v>77</v>
      </c>
      <c r="B78" s="39"/>
      <c r="C78" s="16" t="s">
        <v>100</v>
      </c>
      <c r="D78" s="13" t="s">
        <v>169</v>
      </c>
      <c r="E78" s="37"/>
      <c r="F78" s="37"/>
      <c r="G78" s="37"/>
      <c r="H78" s="37"/>
      <c r="I78" s="37"/>
      <c r="J78" s="35" t="s">
        <v>226</v>
      </c>
      <c r="K78" s="76">
        <v>8</v>
      </c>
      <c r="L78" s="79">
        <f>K78*$L$7</f>
        <v>8</v>
      </c>
    </row>
    <row r="79" spans="1:12" s="2" customFormat="1" ht="30" customHeight="1" x14ac:dyDescent="0.25">
      <c r="A79" s="26" t="s">
        <v>78</v>
      </c>
      <c r="B79" s="39"/>
      <c r="C79" s="16" t="s">
        <v>101</v>
      </c>
      <c r="D79" s="4" t="s">
        <v>170</v>
      </c>
      <c r="E79" s="38"/>
      <c r="F79" s="38"/>
      <c r="G79" s="38"/>
      <c r="H79" s="38"/>
      <c r="I79" s="38"/>
      <c r="J79" s="36" t="s">
        <v>227</v>
      </c>
      <c r="K79" s="77">
        <v>1</v>
      </c>
      <c r="L79" s="79">
        <f>K79*$L$7</f>
        <v>1</v>
      </c>
    </row>
    <row r="80" spans="1:12" x14ac:dyDescent="0.25">
      <c r="A80" s="27"/>
      <c r="B80" s="14"/>
      <c r="C80" s="11"/>
      <c r="D80" s="11"/>
      <c r="E80" s="12"/>
      <c r="F80" s="12"/>
      <c r="G80" s="12"/>
      <c r="H80" s="12"/>
      <c r="I80" s="12"/>
      <c r="J80" s="34" t="s">
        <v>2</v>
      </c>
      <c r="K80" s="78">
        <f>SUM(K12:K79)</f>
        <v>301</v>
      </c>
      <c r="L80" s="80">
        <f>SUM(L12:L79)</f>
        <v>301</v>
      </c>
    </row>
    <row r="81" spans="1:12" customFormat="1" ht="13.8" customHeight="1" x14ac:dyDescent="0.25">
      <c r="A81" s="28"/>
      <c r="B81" s="10"/>
      <c r="C81" s="66"/>
      <c r="D81" s="9"/>
      <c r="E81" s="6"/>
      <c r="F81" s="6"/>
      <c r="G81" s="6"/>
      <c r="H81" s="6"/>
      <c r="I81" s="6"/>
      <c r="J81" s="10"/>
      <c r="K81" s="8"/>
      <c r="L81" s="29"/>
    </row>
    <row r="82" spans="1:12" customFormat="1" ht="13.05" customHeight="1" x14ac:dyDescent="0.25">
      <c r="A82" s="88"/>
      <c r="B82" s="89"/>
      <c r="C82" s="89"/>
      <c r="D82" s="89"/>
      <c r="E82" s="89"/>
      <c r="F82" s="89"/>
      <c r="G82" s="89"/>
      <c r="H82" s="89"/>
      <c r="I82" s="89"/>
      <c r="J82" s="89"/>
      <c r="K82" s="15"/>
      <c r="L82" s="40"/>
    </row>
    <row r="83" spans="1:12" customFormat="1" ht="13.05" customHeight="1" x14ac:dyDescent="0.25">
      <c r="A83" s="90"/>
      <c r="B83" s="91"/>
      <c r="C83" s="91"/>
      <c r="D83" s="91"/>
      <c r="E83" s="91"/>
      <c r="F83" s="91"/>
      <c r="G83" s="91"/>
      <c r="H83" s="91"/>
      <c r="I83" s="91"/>
      <c r="J83" s="91"/>
      <c r="K83" s="5"/>
      <c r="L83" s="41"/>
    </row>
    <row r="84" spans="1:12" customFormat="1" ht="13.05" customHeight="1" x14ac:dyDescent="0.25">
      <c r="A84" s="90"/>
      <c r="B84" s="91"/>
      <c r="C84" s="91"/>
      <c r="D84" s="91"/>
      <c r="E84" s="91"/>
      <c r="F84" s="91"/>
      <c r="G84" s="91"/>
      <c r="H84" s="91"/>
      <c r="I84" s="91"/>
      <c r="J84" s="91"/>
      <c r="K84" s="5"/>
      <c r="L84" s="42"/>
    </row>
    <row r="85" spans="1:12" customFormat="1" ht="13.05" customHeight="1" x14ac:dyDescent="0.25">
      <c r="A85" s="90"/>
      <c r="B85" s="91"/>
      <c r="C85" s="91"/>
      <c r="D85" s="91"/>
      <c r="E85" s="91"/>
      <c r="F85" s="91"/>
      <c r="G85" s="91"/>
      <c r="H85" s="91"/>
      <c r="I85" s="91"/>
      <c r="J85" s="91"/>
      <c r="K85" s="5"/>
      <c r="L85" s="42"/>
    </row>
    <row r="86" spans="1:12" customFormat="1" ht="9.75" customHeight="1" x14ac:dyDescent="0.25">
      <c r="A86" s="92"/>
      <c r="B86" s="93"/>
      <c r="C86" s="93"/>
      <c r="D86" s="93"/>
      <c r="E86" s="93"/>
      <c r="F86" s="93"/>
      <c r="G86" s="93"/>
      <c r="H86" s="93"/>
      <c r="I86" s="93"/>
      <c r="J86" s="93"/>
      <c r="K86" s="8"/>
      <c r="L86" s="31"/>
    </row>
    <row r="87" spans="1:12" customFormat="1" ht="13.05" customHeight="1" x14ac:dyDescent="0.25">
      <c r="A87" s="30"/>
      <c r="B87" s="8"/>
      <c r="C87" s="7"/>
      <c r="D87" s="7"/>
      <c r="E87" s="7"/>
      <c r="F87" s="7"/>
      <c r="G87" s="7"/>
      <c r="H87" s="7"/>
      <c r="I87" s="7"/>
      <c r="J87" s="8"/>
      <c r="K87" s="8"/>
      <c r="L87" s="31"/>
    </row>
    <row r="88" spans="1:12" customFormat="1" ht="13.05" customHeight="1" x14ac:dyDescent="0.25">
      <c r="A88" s="67"/>
      <c r="B88" s="68"/>
      <c r="C88" s="69"/>
      <c r="D88" s="69"/>
      <c r="E88" s="69"/>
      <c r="F88" s="69"/>
      <c r="G88" s="69"/>
      <c r="H88" s="69"/>
      <c r="I88" s="69"/>
      <c r="J88" s="68"/>
      <c r="K88" s="68"/>
      <c r="L88" s="70"/>
    </row>
    <row r="89" spans="1:12" customFormat="1" ht="13.05" customHeight="1" x14ac:dyDescent="0.25">
      <c r="A89" s="71"/>
      <c r="B89" s="72"/>
      <c r="C89" s="73"/>
      <c r="D89" s="73"/>
      <c r="E89" s="73"/>
      <c r="F89" s="73"/>
      <c r="G89" s="73"/>
      <c r="H89" s="73"/>
      <c r="I89" s="73"/>
      <c r="J89" s="74"/>
      <c r="K89" s="74"/>
      <c r="L89" s="75"/>
    </row>
    <row r="90" spans="1:12" x14ac:dyDescent="0.25">
      <c r="K90" s="1"/>
      <c r="L90" s="12"/>
    </row>
    <row r="91" spans="1:12" x14ac:dyDescent="0.25">
      <c r="K91" s="1"/>
      <c r="L91" s="1"/>
    </row>
    <row r="92" spans="1:12" x14ac:dyDescent="0.25">
      <c r="K92" s="1"/>
      <c r="L92" s="1"/>
    </row>
    <row r="93" spans="1:12" x14ac:dyDescent="0.25">
      <c r="K93" s="1"/>
      <c r="L93" s="1"/>
    </row>
    <row r="94" spans="1:12" x14ac:dyDescent="0.25">
      <c r="K94" s="1"/>
      <c r="L94" s="1"/>
    </row>
    <row r="95" spans="1:12" x14ac:dyDescent="0.25">
      <c r="K95" s="1"/>
      <c r="L95" s="1"/>
    </row>
    <row r="96" spans="1:12" x14ac:dyDescent="0.25">
      <c r="K96" s="1"/>
      <c r="L96" s="1"/>
    </row>
    <row r="97" spans="11:12" x14ac:dyDescent="0.25">
      <c r="K97" s="1"/>
      <c r="L97" s="1"/>
    </row>
    <row r="98" spans="11:12" x14ac:dyDescent="0.25">
      <c r="K98" s="1"/>
      <c r="L98" s="1"/>
    </row>
    <row r="99" spans="11:12" x14ac:dyDescent="0.25">
      <c r="K99" s="1"/>
      <c r="L99" s="1"/>
    </row>
    <row r="100" spans="11:12" x14ac:dyDescent="0.25">
      <c r="K100" s="1"/>
      <c r="L100" s="1"/>
    </row>
    <row r="101" spans="11:12" x14ac:dyDescent="0.25">
      <c r="K101" s="1"/>
      <c r="L101" s="1"/>
    </row>
    <row r="102" spans="11:12" x14ac:dyDescent="0.25">
      <c r="K102" s="1"/>
      <c r="L102" s="1"/>
    </row>
    <row r="103" spans="11:12" x14ac:dyDescent="0.25">
      <c r="K103" s="1"/>
      <c r="L103" s="1"/>
    </row>
    <row r="104" spans="11:12" x14ac:dyDescent="0.25">
      <c r="K104" s="1"/>
      <c r="L104" s="1"/>
    </row>
    <row r="105" spans="11:12" x14ac:dyDescent="0.25">
      <c r="K105" s="1"/>
      <c r="L105" s="1"/>
    </row>
    <row r="106" spans="11:12" x14ac:dyDescent="0.25">
      <c r="K106" s="1"/>
      <c r="L106" s="1"/>
    </row>
    <row r="107" spans="11:12" x14ac:dyDescent="0.25">
      <c r="K107" s="1"/>
      <c r="L107" s="1"/>
    </row>
    <row r="108" spans="11:12" x14ac:dyDescent="0.25">
      <c r="K108" s="1"/>
      <c r="L108" s="1"/>
    </row>
    <row r="109" spans="11:12" x14ac:dyDescent="0.25">
      <c r="K109" s="1"/>
      <c r="L109" s="1"/>
    </row>
    <row r="110" spans="11:12" x14ac:dyDescent="0.25">
      <c r="K110" s="1"/>
      <c r="L110" s="1"/>
    </row>
    <row r="111" spans="11:12" x14ac:dyDescent="0.25">
      <c r="K111" s="1"/>
      <c r="L111" s="1"/>
    </row>
    <row r="112" spans="11:12" x14ac:dyDescent="0.25">
      <c r="K112" s="1"/>
      <c r="L112" s="1"/>
    </row>
    <row r="113" spans="11:12" x14ac:dyDescent="0.25">
      <c r="K113" s="1"/>
      <c r="L113" s="1"/>
    </row>
    <row r="114" spans="11:12" x14ac:dyDescent="0.25">
      <c r="K114" s="1"/>
      <c r="L114" s="1"/>
    </row>
    <row r="115" spans="11:12" x14ac:dyDescent="0.25">
      <c r="K115" s="1"/>
      <c r="L115" s="1"/>
    </row>
    <row r="116" spans="11:12" x14ac:dyDescent="0.25">
      <c r="K116" s="1"/>
      <c r="L116" s="1"/>
    </row>
    <row r="117" spans="11:12" x14ac:dyDescent="0.25">
      <c r="K117" s="1"/>
      <c r="L117" s="1"/>
    </row>
    <row r="118" spans="11:12" x14ac:dyDescent="0.25">
      <c r="K118" s="1"/>
      <c r="L118" s="1"/>
    </row>
    <row r="119" spans="11:12" x14ac:dyDescent="0.25">
      <c r="K119" s="1"/>
      <c r="L119" s="1"/>
    </row>
    <row r="120" spans="11:12" x14ac:dyDescent="0.25">
      <c r="K120" s="1"/>
      <c r="L120" s="1"/>
    </row>
    <row r="121" spans="11:12" x14ac:dyDescent="0.25">
      <c r="K121" s="1"/>
      <c r="L121" s="1"/>
    </row>
    <row r="122" spans="11:12" x14ac:dyDescent="0.25">
      <c r="K122" s="1"/>
      <c r="L122" s="1"/>
    </row>
    <row r="123" spans="11:12" x14ac:dyDescent="0.25">
      <c r="K123" s="1"/>
      <c r="L123" s="1"/>
    </row>
    <row r="124" spans="11:12" x14ac:dyDescent="0.25">
      <c r="K124" s="1"/>
      <c r="L124" s="1"/>
    </row>
    <row r="125" spans="11:12" x14ac:dyDescent="0.25">
      <c r="K125" s="1"/>
      <c r="L125" s="1"/>
    </row>
    <row r="126" spans="11:12" x14ac:dyDescent="0.25">
      <c r="K126" s="1"/>
      <c r="L126" s="1"/>
    </row>
    <row r="127" spans="11:12" x14ac:dyDescent="0.25">
      <c r="K127" s="1"/>
      <c r="L127" s="1"/>
    </row>
    <row r="128" spans="11:12" x14ac:dyDescent="0.25">
      <c r="K128" s="1"/>
      <c r="L128" s="1"/>
    </row>
    <row r="129" spans="11:12" x14ac:dyDescent="0.25">
      <c r="K129" s="1"/>
      <c r="L129" s="1"/>
    </row>
    <row r="130" spans="11:12" x14ac:dyDescent="0.25">
      <c r="K130" s="1"/>
      <c r="L130" s="1"/>
    </row>
    <row r="131" spans="11:12" x14ac:dyDescent="0.25">
      <c r="K131" s="1"/>
      <c r="L131" s="1"/>
    </row>
    <row r="132" spans="11:12" x14ac:dyDescent="0.25">
      <c r="K132" s="1"/>
      <c r="L132" s="1"/>
    </row>
    <row r="133" spans="11:12" x14ac:dyDescent="0.25">
      <c r="K133" s="1"/>
      <c r="L133" s="1"/>
    </row>
    <row r="134" spans="11:12" x14ac:dyDescent="0.25">
      <c r="K134" s="1"/>
      <c r="L134" s="1"/>
    </row>
    <row r="135" spans="11:12" x14ac:dyDescent="0.25">
      <c r="K135" s="1"/>
      <c r="L135" s="1"/>
    </row>
    <row r="136" spans="11:12" x14ac:dyDescent="0.25">
      <c r="K136" s="1"/>
      <c r="L136" s="1"/>
    </row>
    <row r="137" spans="11:12" x14ac:dyDescent="0.25">
      <c r="K137" s="1"/>
      <c r="L137" s="1"/>
    </row>
    <row r="138" spans="11:12" x14ac:dyDescent="0.25">
      <c r="K138" s="1"/>
      <c r="L138" s="1"/>
    </row>
    <row r="139" spans="11:12" x14ac:dyDescent="0.25">
      <c r="K139" s="1"/>
      <c r="L139" s="1"/>
    </row>
    <row r="140" spans="11:12" x14ac:dyDescent="0.25">
      <c r="K140" s="1"/>
      <c r="L140" s="1"/>
    </row>
    <row r="141" spans="11:12" x14ac:dyDescent="0.25">
      <c r="K141" s="1"/>
      <c r="L141" s="1"/>
    </row>
    <row r="142" spans="11:12" x14ac:dyDescent="0.25">
      <c r="K142" s="1"/>
      <c r="L142" s="1"/>
    </row>
    <row r="143" spans="11:12" x14ac:dyDescent="0.25">
      <c r="K143" s="1"/>
      <c r="L143" s="1"/>
    </row>
    <row r="144" spans="11:12" x14ac:dyDescent="0.25">
      <c r="K144" s="1"/>
      <c r="L144" s="1"/>
    </row>
    <row r="145" spans="11:12" x14ac:dyDescent="0.25">
      <c r="K145" s="1"/>
      <c r="L145" s="1"/>
    </row>
    <row r="146" spans="11:12" x14ac:dyDescent="0.25">
      <c r="K146" s="1"/>
      <c r="L146" s="1"/>
    </row>
    <row r="147" spans="11:12" x14ac:dyDescent="0.25">
      <c r="K147" s="1"/>
      <c r="L147" s="1"/>
    </row>
    <row r="148" spans="11:12" x14ac:dyDescent="0.25">
      <c r="K148" s="1"/>
      <c r="L148" s="1"/>
    </row>
    <row r="149" spans="11:12" x14ac:dyDescent="0.25">
      <c r="K149" s="1"/>
      <c r="L149" s="1"/>
    </row>
    <row r="150" spans="11:12" x14ac:dyDescent="0.25">
      <c r="K150" s="1"/>
      <c r="L150" s="1"/>
    </row>
    <row r="151" spans="11:12" x14ac:dyDescent="0.25">
      <c r="K151" s="1"/>
      <c r="L151" s="1"/>
    </row>
    <row r="152" spans="11:12" x14ac:dyDescent="0.25">
      <c r="K152" s="1"/>
      <c r="L152" s="1"/>
    </row>
    <row r="153" spans="11:12" x14ac:dyDescent="0.25">
      <c r="K153" s="1"/>
      <c r="L153" s="1"/>
    </row>
    <row r="154" spans="11:12" x14ac:dyDescent="0.25">
      <c r="K154" s="1"/>
      <c r="L154" s="1"/>
    </row>
    <row r="155" spans="11:12" x14ac:dyDescent="0.25">
      <c r="K155" s="1"/>
      <c r="L155" s="1"/>
    </row>
    <row r="156" spans="11:12" x14ac:dyDescent="0.25">
      <c r="K156" s="1"/>
      <c r="L156" s="1"/>
    </row>
    <row r="157" spans="11:12" x14ac:dyDescent="0.25">
      <c r="K157" s="1"/>
      <c r="L157" s="1"/>
    </row>
    <row r="158" spans="11:12" x14ac:dyDescent="0.25">
      <c r="K158" s="1"/>
      <c r="L158" s="1"/>
    </row>
    <row r="159" spans="11:12" x14ac:dyDescent="0.25">
      <c r="K159" s="1"/>
      <c r="L159" s="1"/>
    </row>
    <row r="160" spans="11:12" x14ac:dyDescent="0.25">
      <c r="K160" s="1"/>
      <c r="L160" s="1"/>
    </row>
    <row r="161" spans="11:12" x14ac:dyDescent="0.25">
      <c r="K161" s="1"/>
      <c r="L161" s="1"/>
    </row>
    <row r="162" spans="11:12" x14ac:dyDescent="0.25">
      <c r="K162" s="1"/>
      <c r="L162" s="1"/>
    </row>
    <row r="163" spans="11:12" x14ac:dyDescent="0.25">
      <c r="K163" s="1"/>
      <c r="L163" s="1"/>
    </row>
    <row r="164" spans="11:12" x14ac:dyDescent="0.25">
      <c r="K164" s="1"/>
      <c r="L164" s="1"/>
    </row>
    <row r="165" spans="11:12" x14ac:dyDescent="0.25">
      <c r="K165" s="1"/>
      <c r="L165" s="1"/>
    </row>
    <row r="166" spans="11:12" x14ac:dyDescent="0.25">
      <c r="K166" s="1"/>
      <c r="L166" s="1"/>
    </row>
    <row r="167" spans="11:12" x14ac:dyDescent="0.25">
      <c r="K167" s="1"/>
      <c r="L167" s="1"/>
    </row>
    <row r="168" spans="11:12" x14ac:dyDescent="0.25">
      <c r="K168" s="1"/>
      <c r="L168" s="1"/>
    </row>
    <row r="169" spans="11:12" x14ac:dyDescent="0.25">
      <c r="K169" s="1"/>
      <c r="L169" s="1"/>
    </row>
    <row r="170" spans="11:12" x14ac:dyDescent="0.25">
      <c r="K170" s="1"/>
      <c r="L170" s="1"/>
    </row>
    <row r="171" spans="11:12" x14ac:dyDescent="0.25">
      <c r="K171" s="1"/>
      <c r="L171" s="1"/>
    </row>
    <row r="172" spans="11:12" x14ac:dyDescent="0.25">
      <c r="K172" s="1"/>
      <c r="L172" s="1"/>
    </row>
    <row r="173" spans="11:12" x14ac:dyDescent="0.25">
      <c r="K173" s="1"/>
      <c r="L173" s="1"/>
    </row>
    <row r="174" spans="11:12" x14ac:dyDescent="0.25">
      <c r="K174" s="1"/>
      <c r="L174" s="1"/>
    </row>
    <row r="175" spans="11:12" x14ac:dyDescent="0.25">
      <c r="K175" s="1"/>
      <c r="L175" s="1"/>
    </row>
    <row r="176" spans="11:12" x14ac:dyDescent="0.25">
      <c r="K176" s="1"/>
      <c r="L176" s="1"/>
    </row>
    <row r="177" spans="11:12" x14ac:dyDescent="0.25">
      <c r="K177" s="1"/>
      <c r="L177" s="1"/>
    </row>
    <row r="178" spans="11:12" x14ac:dyDescent="0.25">
      <c r="K178" s="1"/>
      <c r="L178" s="1"/>
    </row>
    <row r="179" spans="11:12" x14ac:dyDescent="0.25">
      <c r="K179" s="1"/>
      <c r="L179" s="1"/>
    </row>
    <row r="180" spans="11:12" x14ac:dyDescent="0.25">
      <c r="K180" s="1"/>
      <c r="L180" s="1"/>
    </row>
    <row r="181" spans="11:12" x14ac:dyDescent="0.25">
      <c r="K181" s="1"/>
      <c r="L181" s="1"/>
    </row>
    <row r="182" spans="11:12" x14ac:dyDescent="0.25">
      <c r="K182" s="1"/>
      <c r="L182" s="1"/>
    </row>
    <row r="183" spans="11:12" x14ac:dyDescent="0.25">
      <c r="K183" s="1"/>
      <c r="L183" s="1"/>
    </row>
    <row r="184" spans="11:12" x14ac:dyDescent="0.25">
      <c r="K184" s="1"/>
      <c r="L184" s="1"/>
    </row>
    <row r="185" spans="11:12" x14ac:dyDescent="0.25">
      <c r="K185" s="1"/>
      <c r="L185" s="1"/>
    </row>
    <row r="186" spans="11:12" x14ac:dyDescent="0.25">
      <c r="K186" s="1"/>
      <c r="L186" s="1"/>
    </row>
    <row r="187" spans="11:12" x14ac:dyDescent="0.25">
      <c r="K187" s="1"/>
      <c r="L187" s="1"/>
    </row>
    <row r="188" spans="11:12" x14ac:dyDescent="0.25">
      <c r="K188" s="1"/>
      <c r="L188" s="1"/>
    </row>
    <row r="189" spans="11:12" x14ac:dyDescent="0.25">
      <c r="K189" s="1"/>
      <c r="L189" s="1"/>
    </row>
    <row r="190" spans="11:12" x14ac:dyDescent="0.25">
      <c r="K190" s="1"/>
      <c r="L190" s="1"/>
    </row>
    <row r="191" spans="11:12" x14ac:dyDescent="0.25">
      <c r="K191" s="1"/>
      <c r="L191" s="1"/>
    </row>
    <row r="192" spans="11:12" x14ac:dyDescent="0.25">
      <c r="K192" s="1"/>
      <c r="L192" s="1"/>
    </row>
    <row r="193" spans="11:12" x14ac:dyDescent="0.25">
      <c r="K193" s="1"/>
      <c r="L193" s="1"/>
    </row>
    <row r="194" spans="11:12" x14ac:dyDescent="0.25">
      <c r="K194" s="1"/>
      <c r="L194" s="1"/>
    </row>
    <row r="195" spans="11:12" x14ac:dyDescent="0.25">
      <c r="K195" s="1"/>
      <c r="L195" s="1"/>
    </row>
    <row r="196" spans="11:12" x14ac:dyDescent="0.25">
      <c r="K196" s="1"/>
      <c r="L196" s="1"/>
    </row>
    <row r="197" spans="11:12" x14ac:dyDescent="0.25">
      <c r="K197" s="1"/>
      <c r="L197" s="1"/>
    </row>
    <row r="198" spans="11:12" x14ac:dyDescent="0.25">
      <c r="K198" s="1"/>
      <c r="L198" s="1"/>
    </row>
    <row r="199" spans="11:12" x14ac:dyDescent="0.25">
      <c r="K199" s="1"/>
      <c r="L199" s="1"/>
    </row>
    <row r="200" spans="11:12" x14ac:dyDescent="0.25">
      <c r="K200" s="1"/>
      <c r="L200" s="1"/>
    </row>
    <row r="201" spans="11:12" x14ac:dyDescent="0.25">
      <c r="K201" s="1"/>
      <c r="L201" s="1"/>
    </row>
    <row r="202" spans="11:12" x14ac:dyDescent="0.25">
      <c r="K202" s="1"/>
      <c r="L202" s="1"/>
    </row>
    <row r="203" spans="11:12" x14ac:dyDescent="0.25">
      <c r="K203" s="1"/>
      <c r="L203" s="1"/>
    </row>
    <row r="204" spans="11:12" x14ac:dyDescent="0.25">
      <c r="K204" s="1"/>
      <c r="L204" s="1"/>
    </row>
    <row r="205" spans="11:12" x14ac:dyDescent="0.25">
      <c r="K205" s="1"/>
      <c r="L205" s="1"/>
    </row>
    <row r="206" spans="11:12" x14ac:dyDescent="0.25">
      <c r="K206" s="1"/>
      <c r="L206" s="1"/>
    </row>
    <row r="207" spans="11:12" x14ac:dyDescent="0.25">
      <c r="K207" s="1"/>
      <c r="L207" s="1"/>
    </row>
    <row r="208" spans="11:12" x14ac:dyDescent="0.25">
      <c r="K208" s="1"/>
      <c r="L208" s="1"/>
    </row>
    <row r="209" spans="11:12" x14ac:dyDescent="0.25">
      <c r="K209" s="1"/>
      <c r="L209" s="1"/>
    </row>
    <row r="210" spans="11:12" x14ac:dyDescent="0.25">
      <c r="K210" s="1"/>
      <c r="L210" s="1"/>
    </row>
    <row r="211" spans="11:12" x14ac:dyDescent="0.25">
      <c r="K211" s="1"/>
      <c r="L211" s="1"/>
    </row>
    <row r="212" spans="11:12" x14ac:dyDescent="0.25">
      <c r="K212" s="1"/>
      <c r="L212" s="1"/>
    </row>
    <row r="213" spans="11:12" x14ac:dyDescent="0.25">
      <c r="K213" s="1"/>
      <c r="L213" s="1"/>
    </row>
    <row r="214" spans="11:12" x14ac:dyDescent="0.25">
      <c r="K214" s="1"/>
      <c r="L214" s="1"/>
    </row>
    <row r="215" spans="11:12" x14ac:dyDescent="0.25">
      <c r="K215" s="1"/>
      <c r="L215" s="1"/>
    </row>
    <row r="216" spans="11:12" x14ac:dyDescent="0.25">
      <c r="K216" s="1"/>
      <c r="L216" s="1"/>
    </row>
    <row r="217" spans="11:12" x14ac:dyDescent="0.25">
      <c r="K217" s="1"/>
      <c r="L217" s="1"/>
    </row>
    <row r="218" spans="11:12" x14ac:dyDescent="0.25">
      <c r="K218" s="1"/>
      <c r="L218" s="1"/>
    </row>
    <row r="219" spans="11:12" x14ac:dyDescent="0.25">
      <c r="K219" s="1"/>
      <c r="L219" s="1"/>
    </row>
    <row r="220" spans="11:12" x14ac:dyDescent="0.25">
      <c r="K220" s="1"/>
      <c r="L220" s="1"/>
    </row>
    <row r="221" spans="11:12" x14ac:dyDescent="0.25">
      <c r="K221" s="1"/>
      <c r="L221" s="1"/>
    </row>
    <row r="222" spans="11:12" x14ac:dyDescent="0.25">
      <c r="K222" s="1"/>
      <c r="L222" s="1"/>
    </row>
    <row r="223" spans="11:12" x14ac:dyDescent="0.25">
      <c r="K223" s="1"/>
      <c r="L223" s="1"/>
    </row>
    <row r="224" spans="11:12" x14ac:dyDescent="0.25">
      <c r="K224" s="1"/>
      <c r="L224" s="1"/>
    </row>
    <row r="225" spans="11:12" x14ac:dyDescent="0.25">
      <c r="K225" s="1"/>
      <c r="L225" s="1"/>
    </row>
    <row r="226" spans="11:12" x14ac:dyDescent="0.25">
      <c r="K226" s="1"/>
      <c r="L226" s="1"/>
    </row>
    <row r="227" spans="11:12" x14ac:dyDescent="0.25">
      <c r="K227" s="1"/>
      <c r="L227" s="1"/>
    </row>
    <row r="228" spans="11:12" x14ac:dyDescent="0.25">
      <c r="K228" s="1"/>
      <c r="L228" s="1"/>
    </row>
    <row r="229" spans="11:12" x14ac:dyDescent="0.25">
      <c r="K229" s="1"/>
      <c r="L229" s="1"/>
    </row>
    <row r="230" spans="11:12" x14ac:dyDescent="0.25">
      <c r="K230" s="1"/>
      <c r="L230" s="1"/>
    </row>
    <row r="231" spans="11:12" x14ac:dyDescent="0.25">
      <c r="K231" s="1"/>
      <c r="L231" s="1"/>
    </row>
    <row r="232" spans="11:12" x14ac:dyDescent="0.25">
      <c r="K232" s="1"/>
      <c r="L232" s="1"/>
    </row>
    <row r="233" spans="11:12" x14ac:dyDescent="0.25">
      <c r="K233" s="1"/>
      <c r="L233" s="1"/>
    </row>
    <row r="234" spans="11:12" x14ac:dyDescent="0.25">
      <c r="K234" s="1"/>
      <c r="L234" s="1"/>
    </row>
    <row r="235" spans="11:12" x14ac:dyDescent="0.25">
      <c r="K235" s="1"/>
      <c r="L235" s="1"/>
    </row>
    <row r="236" spans="11:12" x14ac:dyDescent="0.25">
      <c r="K236" s="1"/>
      <c r="L236" s="1"/>
    </row>
    <row r="237" spans="11:12" x14ac:dyDescent="0.25">
      <c r="K237" s="1"/>
      <c r="L237" s="1"/>
    </row>
    <row r="238" spans="11:12" x14ac:dyDescent="0.25">
      <c r="K238" s="1"/>
      <c r="L238" s="1"/>
    </row>
    <row r="239" spans="11:12" x14ac:dyDescent="0.25">
      <c r="K239" s="1"/>
      <c r="L239" s="1"/>
    </row>
    <row r="240" spans="11:12" x14ac:dyDescent="0.25">
      <c r="K240" s="1"/>
      <c r="L240" s="1"/>
    </row>
    <row r="241" spans="11:12" x14ac:dyDescent="0.25">
      <c r="K241" s="1"/>
      <c r="L241" s="1"/>
    </row>
    <row r="242" spans="11:12" x14ac:dyDescent="0.25">
      <c r="K242" s="1"/>
      <c r="L242" s="1"/>
    </row>
    <row r="243" spans="11:12" x14ac:dyDescent="0.25">
      <c r="K243" s="1"/>
      <c r="L243" s="1"/>
    </row>
    <row r="244" spans="11:12" x14ac:dyDescent="0.25">
      <c r="K244" s="1"/>
      <c r="L244" s="1"/>
    </row>
    <row r="245" spans="11:12" x14ac:dyDescent="0.25">
      <c r="K245" s="1"/>
      <c r="L245" s="1"/>
    </row>
    <row r="246" spans="11:12" x14ac:dyDescent="0.25">
      <c r="K246" s="1"/>
      <c r="L246" s="1"/>
    </row>
    <row r="247" spans="11:12" x14ac:dyDescent="0.25">
      <c r="K247" s="1"/>
      <c r="L247" s="1"/>
    </row>
    <row r="248" spans="11:12" x14ac:dyDescent="0.25">
      <c r="K248" s="1"/>
      <c r="L248" s="1"/>
    </row>
    <row r="249" spans="11:12" x14ac:dyDescent="0.25">
      <c r="K249" s="1"/>
      <c r="L249" s="1"/>
    </row>
    <row r="250" spans="11:12" x14ac:dyDescent="0.25">
      <c r="K250" s="1"/>
      <c r="L250" s="1"/>
    </row>
    <row r="251" spans="11:12" x14ac:dyDescent="0.25">
      <c r="K251" s="1"/>
      <c r="L251" s="1"/>
    </row>
    <row r="252" spans="11:12" x14ac:dyDescent="0.25">
      <c r="K252" s="1"/>
      <c r="L252" s="1"/>
    </row>
    <row r="253" spans="11:12" x14ac:dyDescent="0.25">
      <c r="K253" s="1"/>
      <c r="L253" s="1"/>
    </row>
    <row r="254" spans="11:12" x14ac:dyDescent="0.25">
      <c r="K254" s="1"/>
      <c r="L254" s="1"/>
    </row>
    <row r="255" spans="11:12" x14ac:dyDescent="0.25">
      <c r="K255" s="1"/>
      <c r="L255" s="1"/>
    </row>
    <row r="256" spans="11:12" x14ac:dyDescent="0.25">
      <c r="K256" s="1"/>
      <c r="L256" s="1"/>
    </row>
    <row r="257" spans="11:12" x14ac:dyDescent="0.25">
      <c r="K257" s="1"/>
      <c r="L257" s="1"/>
    </row>
    <row r="258" spans="11:12" x14ac:dyDescent="0.25">
      <c r="K258" s="1"/>
      <c r="L258" s="1"/>
    </row>
    <row r="259" spans="11:12" x14ac:dyDescent="0.25">
      <c r="K259" s="1"/>
      <c r="L259" s="1"/>
    </row>
    <row r="260" spans="11:12" x14ac:dyDescent="0.25">
      <c r="K260" s="1"/>
      <c r="L260" s="1"/>
    </row>
    <row r="261" spans="11:12" x14ac:dyDescent="0.25">
      <c r="K261" s="1"/>
      <c r="L261" s="1"/>
    </row>
    <row r="262" spans="11:12" x14ac:dyDescent="0.25">
      <c r="K262" s="1"/>
      <c r="L262" s="1"/>
    </row>
    <row r="263" spans="11:12" x14ac:dyDescent="0.25">
      <c r="K263" s="1"/>
      <c r="L263" s="1"/>
    </row>
    <row r="264" spans="11:12" x14ac:dyDescent="0.25">
      <c r="K264" s="1"/>
      <c r="L264" s="1"/>
    </row>
    <row r="265" spans="11:12" x14ac:dyDescent="0.25">
      <c r="K265" s="1"/>
      <c r="L265" s="1"/>
    </row>
    <row r="266" spans="11:12" x14ac:dyDescent="0.25">
      <c r="K266" s="1"/>
      <c r="L266" s="1"/>
    </row>
    <row r="267" spans="11:12" x14ac:dyDescent="0.25">
      <c r="K267" s="1"/>
      <c r="L267" s="1"/>
    </row>
    <row r="268" spans="11:12" x14ac:dyDescent="0.25">
      <c r="K268" s="1"/>
      <c r="L268" s="1"/>
    </row>
    <row r="269" spans="11:12" x14ac:dyDescent="0.25">
      <c r="K269" s="1"/>
      <c r="L269" s="1"/>
    </row>
    <row r="270" spans="11:12" x14ac:dyDescent="0.25">
      <c r="K270" s="1"/>
      <c r="L270" s="1"/>
    </row>
    <row r="271" spans="11:12" x14ac:dyDescent="0.25">
      <c r="K271" s="1"/>
      <c r="L271" s="1"/>
    </row>
    <row r="272" spans="11:12" x14ac:dyDescent="0.25">
      <c r="K272" s="1"/>
      <c r="L272" s="1"/>
    </row>
    <row r="273" spans="11:12" x14ac:dyDescent="0.25">
      <c r="K273" s="1"/>
      <c r="L273" s="1"/>
    </row>
    <row r="274" spans="11:12" x14ac:dyDescent="0.25">
      <c r="K274" s="1"/>
      <c r="L274" s="1"/>
    </row>
    <row r="275" spans="11:12" x14ac:dyDescent="0.25">
      <c r="K275" s="1"/>
      <c r="L275" s="1"/>
    </row>
    <row r="276" spans="11:12" x14ac:dyDescent="0.25">
      <c r="K276" s="1"/>
      <c r="L276" s="1"/>
    </row>
    <row r="277" spans="11:12" x14ac:dyDescent="0.25">
      <c r="K277" s="1"/>
      <c r="L277" s="1"/>
    </row>
    <row r="278" spans="11:12" x14ac:dyDescent="0.25">
      <c r="K278" s="1"/>
      <c r="L278" s="1"/>
    </row>
    <row r="279" spans="11:12" x14ac:dyDescent="0.25">
      <c r="K279" s="1"/>
      <c r="L279" s="1"/>
    </row>
    <row r="280" spans="11:12" x14ac:dyDescent="0.25">
      <c r="K280" s="1"/>
      <c r="L280" s="1"/>
    </row>
    <row r="281" spans="11:12" x14ac:dyDescent="0.25">
      <c r="K281" s="1"/>
      <c r="L281" s="1"/>
    </row>
    <row r="282" spans="11:12" x14ac:dyDescent="0.25">
      <c r="K282" s="1"/>
      <c r="L282" s="1"/>
    </row>
    <row r="283" spans="11:12" x14ac:dyDescent="0.25">
      <c r="K283" s="1"/>
      <c r="L283" s="1"/>
    </row>
    <row r="284" spans="11:12" x14ac:dyDescent="0.25">
      <c r="K284" s="1"/>
      <c r="L284" s="1"/>
    </row>
    <row r="285" spans="11:12" x14ac:dyDescent="0.25">
      <c r="K285" s="1"/>
      <c r="L285" s="1"/>
    </row>
    <row r="286" spans="11:12" x14ac:dyDescent="0.25">
      <c r="K286" s="1"/>
      <c r="L286" s="1"/>
    </row>
    <row r="287" spans="11:12" x14ac:dyDescent="0.25">
      <c r="K287" s="1"/>
      <c r="L287" s="1"/>
    </row>
    <row r="288" spans="11:12" x14ac:dyDescent="0.25">
      <c r="K288" s="1"/>
      <c r="L288" s="1"/>
    </row>
    <row r="289" spans="11:12" x14ac:dyDescent="0.25">
      <c r="K289" s="1"/>
      <c r="L289" s="1"/>
    </row>
    <row r="290" spans="11:12" x14ac:dyDescent="0.25">
      <c r="K290" s="1"/>
      <c r="L290" s="1"/>
    </row>
    <row r="291" spans="11:12" x14ac:dyDescent="0.25">
      <c r="K291" s="1"/>
      <c r="L291" s="1"/>
    </row>
    <row r="292" spans="11:12" x14ac:dyDescent="0.25">
      <c r="K292" s="1"/>
      <c r="L292" s="1"/>
    </row>
    <row r="293" spans="11:12" x14ac:dyDescent="0.25">
      <c r="K293" s="1"/>
      <c r="L293" s="1"/>
    </row>
    <row r="294" spans="11:12" x14ac:dyDescent="0.25">
      <c r="K294" s="1"/>
      <c r="L294" s="1"/>
    </row>
    <row r="295" spans="11:12" x14ac:dyDescent="0.25">
      <c r="K295" s="1"/>
      <c r="L295" s="1"/>
    </row>
    <row r="296" spans="11:12" x14ac:dyDescent="0.25">
      <c r="K296" s="1"/>
      <c r="L296" s="1"/>
    </row>
    <row r="297" spans="11:12" x14ac:dyDescent="0.25">
      <c r="K297" s="1"/>
      <c r="L297" s="1"/>
    </row>
    <row r="298" spans="11:12" x14ac:dyDescent="0.25">
      <c r="K298" s="1"/>
      <c r="L298" s="1"/>
    </row>
    <row r="299" spans="11:12" x14ac:dyDescent="0.25">
      <c r="K299" s="1"/>
      <c r="L299" s="1"/>
    </row>
    <row r="300" spans="11:12" x14ac:dyDescent="0.25">
      <c r="K300" s="1"/>
      <c r="L300" s="1"/>
    </row>
    <row r="301" spans="11:12" x14ac:dyDescent="0.25">
      <c r="K301" s="1"/>
      <c r="L301" s="1"/>
    </row>
    <row r="302" spans="11:12" x14ac:dyDescent="0.25">
      <c r="K302" s="1"/>
      <c r="L302" s="1"/>
    </row>
    <row r="303" spans="11:12" x14ac:dyDescent="0.25">
      <c r="K303" s="1"/>
      <c r="L303" s="1"/>
    </row>
    <row r="304" spans="11:12" x14ac:dyDescent="0.25">
      <c r="K304" s="1"/>
      <c r="L304" s="1"/>
    </row>
    <row r="305" spans="11:12" x14ac:dyDescent="0.25">
      <c r="K305" s="1"/>
      <c r="L305" s="1"/>
    </row>
    <row r="306" spans="11:12" x14ac:dyDescent="0.25">
      <c r="K306" s="1"/>
      <c r="L306" s="1"/>
    </row>
    <row r="307" spans="11:12" x14ac:dyDescent="0.25">
      <c r="K307" s="1"/>
      <c r="L307" s="1"/>
    </row>
    <row r="308" spans="11:12" x14ac:dyDescent="0.25">
      <c r="K308" s="1"/>
      <c r="L308" s="1"/>
    </row>
    <row r="309" spans="11:12" x14ac:dyDescent="0.25">
      <c r="K309" s="1"/>
      <c r="L309" s="1"/>
    </row>
    <row r="310" spans="11:12" x14ac:dyDescent="0.25">
      <c r="K310" s="1"/>
      <c r="L310" s="1"/>
    </row>
    <row r="311" spans="11:12" x14ac:dyDescent="0.25">
      <c r="K311" s="1"/>
      <c r="L311" s="1"/>
    </row>
    <row r="312" spans="11:12" x14ac:dyDescent="0.25">
      <c r="K312" s="1"/>
      <c r="L312" s="1"/>
    </row>
    <row r="313" spans="11:12" x14ac:dyDescent="0.25">
      <c r="K313" s="1"/>
      <c r="L313" s="1"/>
    </row>
    <row r="314" spans="11:12" x14ac:dyDescent="0.25">
      <c r="K314" s="1"/>
      <c r="L314" s="1"/>
    </row>
    <row r="315" spans="11:12" x14ac:dyDescent="0.25">
      <c r="K315" s="1"/>
      <c r="L315" s="1"/>
    </row>
    <row r="316" spans="11:12" x14ac:dyDescent="0.25">
      <c r="K316" s="1"/>
      <c r="L316" s="1"/>
    </row>
    <row r="317" spans="11:12" x14ac:dyDescent="0.25">
      <c r="K317" s="1"/>
      <c r="L317" s="1"/>
    </row>
    <row r="318" spans="11:12" x14ac:dyDescent="0.25">
      <c r="K318" s="1"/>
      <c r="L318" s="1"/>
    </row>
    <row r="319" spans="11:12" x14ac:dyDescent="0.25">
      <c r="K319" s="1"/>
      <c r="L319" s="1"/>
    </row>
    <row r="320" spans="11:12" x14ac:dyDescent="0.25">
      <c r="K320" s="1"/>
      <c r="L320" s="1"/>
    </row>
    <row r="321" spans="11:12" x14ac:dyDescent="0.25">
      <c r="K321" s="1"/>
      <c r="L321" s="1"/>
    </row>
    <row r="322" spans="11:12" x14ac:dyDescent="0.25">
      <c r="K322" s="1"/>
      <c r="L322" s="1"/>
    </row>
    <row r="323" spans="11:12" x14ac:dyDescent="0.25">
      <c r="K323" s="1"/>
      <c r="L323" s="1"/>
    </row>
    <row r="324" spans="11:12" x14ac:dyDescent="0.25">
      <c r="K324" s="1"/>
      <c r="L324" s="1"/>
    </row>
    <row r="325" spans="11:12" x14ac:dyDescent="0.25">
      <c r="K325" s="1"/>
      <c r="L325" s="1"/>
    </row>
    <row r="326" spans="11:12" x14ac:dyDescent="0.25">
      <c r="K326" s="1"/>
      <c r="L326" s="1"/>
    </row>
    <row r="327" spans="11:12" x14ac:dyDescent="0.25">
      <c r="K327" s="1"/>
      <c r="L327" s="1"/>
    </row>
    <row r="328" spans="11:12" x14ac:dyDescent="0.25">
      <c r="K328" s="1"/>
      <c r="L328" s="1"/>
    </row>
    <row r="329" spans="11:12" x14ac:dyDescent="0.25">
      <c r="K329" s="1"/>
      <c r="L329" s="1"/>
    </row>
    <row r="330" spans="11:12" x14ac:dyDescent="0.25">
      <c r="K330" s="1"/>
      <c r="L330" s="1"/>
    </row>
    <row r="331" spans="11:12" x14ac:dyDescent="0.25">
      <c r="K331" s="1"/>
      <c r="L331" s="1"/>
    </row>
    <row r="332" spans="11:12" x14ac:dyDescent="0.25">
      <c r="K332" s="1"/>
      <c r="L332" s="1"/>
    </row>
    <row r="333" spans="11:12" x14ac:dyDescent="0.25">
      <c r="K333" s="1"/>
      <c r="L333" s="1"/>
    </row>
    <row r="334" spans="11:12" x14ac:dyDescent="0.25">
      <c r="K334" s="1"/>
      <c r="L334" s="1"/>
    </row>
    <row r="335" spans="11:12" x14ac:dyDescent="0.25">
      <c r="K335" s="1"/>
      <c r="L335" s="1"/>
    </row>
    <row r="336" spans="11:12" x14ac:dyDescent="0.25">
      <c r="K336" s="1"/>
      <c r="L336" s="1"/>
    </row>
    <row r="337" spans="11:12" x14ac:dyDescent="0.25">
      <c r="K337" s="1"/>
      <c r="L337" s="1"/>
    </row>
    <row r="338" spans="11:12" x14ac:dyDescent="0.25">
      <c r="K338" s="1"/>
      <c r="L338" s="1"/>
    </row>
    <row r="339" spans="11:12" x14ac:dyDescent="0.25">
      <c r="K339" s="1"/>
      <c r="L339" s="1"/>
    </row>
    <row r="340" spans="11:12" x14ac:dyDescent="0.25">
      <c r="K340" s="1"/>
      <c r="L340" s="1"/>
    </row>
    <row r="341" spans="11:12" x14ac:dyDescent="0.25">
      <c r="K341" s="1"/>
      <c r="L341" s="1"/>
    </row>
    <row r="342" spans="11:12" x14ac:dyDescent="0.25">
      <c r="K342" s="1"/>
      <c r="L342" s="1"/>
    </row>
    <row r="343" spans="11:12" x14ac:dyDescent="0.25">
      <c r="K343" s="1"/>
      <c r="L343" s="1"/>
    </row>
    <row r="344" spans="11:12" x14ac:dyDescent="0.25">
      <c r="K344" s="1"/>
      <c r="L344" s="1"/>
    </row>
    <row r="345" spans="11:12" x14ac:dyDescent="0.25">
      <c r="K345" s="1"/>
      <c r="L345" s="1"/>
    </row>
    <row r="346" spans="11:12" x14ac:dyDescent="0.25">
      <c r="K346" s="1"/>
      <c r="L346" s="1"/>
    </row>
    <row r="347" spans="11:12" x14ac:dyDescent="0.25">
      <c r="K347" s="1"/>
      <c r="L347" s="1"/>
    </row>
    <row r="348" spans="11:12" x14ac:dyDescent="0.25">
      <c r="K348" s="1"/>
      <c r="L348" s="1"/>
    </row>
    <row r="349" spans="11:12" x14ac:dyDescent="0.25">
      <c r="K349" s="1"/>
      <c r="L349" s="1"/>
    </row>
    <row r="350" spans="11:12" x14ac:dyDescent="0.25">
      <c r="K350" s="1"/>
      <c r="L350" s="1"/>
    </row>
    <row r="351" spans="11:12" x14ac:dyDescent="0.25">
      <c r="K351" s="1"/>
      <c r="L351" s="1"/>
    </row>
    <row r="352" spans="11:12" x14ac:dyDescent="0.25">
      <c r="K352" s="1"/>
      <c r="L352" s="1"/>
    </row>
    <row r="353" spans="11:12" x14ac:dyDescent="0.25">
      <c r="K353" s="1"/>
      <c r="L353" s="1"/>
    </row>
    <row r="354" spans="11:12" x14ac:dyDescent="0.25">
      <c r="K354" s="1"/>
      <c r="L354" s="1"/>
    </row>
    <row r="355" spans="11:12" x14ac:dyDescent="0.25">
      <c r="K355" s="1"/>
      <c r="L355" s="1"/>
    </row>
    <row r="356" spans="11:12" x14ac:dyDescent="0.25">
      <c r="K356" s="1"/>
      <c r="L356" s="1"/>
    </row>
    <row r="357" spans="11:12" x14ac:dyDescent="0.25">
      <c r="K357" s="1"/>
      <c r="L357" s="1"/>
    </row>
    <row r="358" spans="11:12" x14ac:dyDescent="0.25">
      <c r="K358" s="1"/>
      <c r="L358" s="1"/>
    </row>
    <row r="359" spans="11:12" x14ac:dyDescent="0.25">
      <c r="K359" s="1"/>
      <c r="L359" s="1"/>
    </row>
    <row r="360" spans="11:12" x14ac:dyDescent="0.25">
      <c r="K360" s="1"/>
      <c r="L360" s="1"/>
    </row>
    <row r="361" spans="11:12" x14ac:dyDescent="0.25">
      <c r="K361" s="1"/>
      <c r="L361" s="1"/>
    </row>
    <row r="362" spans="11:12" x14ac:dyDescent="0.25">
      <c r="K362" s="1"/>
      <c r="L362" s="1"/>
    </row>
    <row r="363" spans="11:12" x14ac:dyDescent="0.25">
      <c r="K363" s="1"/>
      <c r="L363" s="1"/>
    </row>
    <row r="364" spans="11:12" x14ac:dyDescent="0.25">
      <c r="K364" s="1"/>
      <c r="L364" s="1"/>
    </row>
    <row r="365" spans="11:12" x14ac:dyDescent="0.25">
      <c r="K365" s="1"/>
      <c r="L365" s="1"/>
    </row>
    <row r="366" spans="11:12" x14ac:dyDescent="0.25">
      <c r="K366" s="1"/>
      <c r="L366" s="1"/>
    </row>
    <row r="367" spans="11:12" x14ac:dyDescent="0.25">
      <c r="K367" s="1"/>
      <c r="L367" s="1"/>
    </row>
    <row r="368" spans="11:12" x14ac:dyDescent="0.25">
      <c r="K368" s="1"/>
      <c r="L368" s="1"/>
    </row>
    <row r="369" spans="11:12" x14ac:dyDescent="0.25">
      <c r="K369" s="1"/>
      <c r="L369" s="1"/>
    </row>
    <row r="370" spans="11:12" x14ac:dyDescent="0.25">
      <c r="K370" s="1"/>
      <c r="L370" s="1"/>
    </row>
    <row r="371" spans="11:12" x14ac:dyDescent="0.25">
      <c r="K371" s="1"/>
      <c r="L371" s="1"/>
    </row>
    <row r="372" spans="11:12" x14ac:dyDescent="0.25">
      <c r="K372" s="1"/>
      <c r="L372" s="1"/>
    </row>
    <row r="373" spans="11:12" x14ac:dyDescent="0.25">
      <c r="K373" s="1"/>
      <c r="L373" s="1"/>
    </row>
    <row r="374" spans="11:12" x14ac:dyDescent="0.25">
      <c r="K374" s="1"/>
      <c r="L374" s="1"/>
    </row>
    <row r="375" spans="11:12" x14ac:dyDescent="0.25">
      <c r="K375" s="1"/>
      <c r="L375" s="1"/>
    </row>
    <row r="376" spans="11:12" x14ac:dyDescent="0.25">
      <c r="K376" s="1"/>
      <c r="L376" s="1"/>
    </row>
    <row r="377" spans="11:12" x14ac:dyDescent="0.25">
      <c r="K377" s="1"/>
      <c r="L377" s="1"/>
    </row>
    <row r="378" spans="11:12" x14ac:dyDescent="0.25">
      <c r="K378" s="1"/>
      <c r="L378" s="1"/>
    </row>
    <row r="379" spans="11:12" x14ac:dyDescent="0.25">
      <c r="K379" s="1"/>
      <c r="L379" s="1"/>
    </row>
    <row r="380" spans="11:12" x14ac:dyDescent="0.25">
      <c r="K380" s="1"/>
      <c r="L380" s="1"/>
    </row>
    <row r="381" spans="11:12" x14ac:dyDescent="0.25">
      <c r="K381" s="1"/>
      <c r="L381" s="1"/>
    </row>
    <row r="382" spans="11:12" x14ac:dyDescent="0.25">
      <c r="K382" s="1"/>
      <c r="L382" s="1"/>
    </row>
    <row r="383" spans="11:12" x14ac:dyDescent="0.25">
      <c r="K383" s="1"/>
      <c r="L383" s="1"/>
    </row>
    <row r="384" spans="11:12" x14ac:dyDescent="0.25">
      <c r="K384" s="1"/>
      <c r="L384" s="1"/>
    </row>
    <row r="385" spans="11:12" x14ac:dyDescent="0.25">
      <c r="K385" s="1"/>
      <c r="L385" s="1"/>
    </row>
    <row r="386" spans="11:12" x14ac:dyDescent="0.25">
      <c r="K386" s="1"/>
      <c r="L386" s="1"/>
    </row>
    <row r="387" spans="11:12" x14ac:dyDescent="0.25">
      <c r="K387" s="1"/>
      <c r="L387" s="1"/>
    </row>
    <row r="388" spans="11:12" x14ac:dyDescent="0.25">
      <c r="K388" s="1"/>
      <c r="L388" s="1"/>
    </row>
    <row r="389" spans="11:12" x14ac:dyDescent="0.25">
      <c r="K389" s="1"/>
      <c r="L389" s="1"/>
    </row>
    <row r="390" spans="11:12" x14ac:dyDescent="0.25">
      <c r="K390" s="1"/>
      <c r="L390" s="1"/>
    </row>
    <row r="391" spans="11:12" x14ac:dyDescent="0.25">
      <c r="K391" s="1"/>
      <c r="L391" s="1"/>
    </row>
    <row r="392" spans="11:12" x14ac:dyDescent="0.25">
      <c r="K392" s="1"/>
      <c r="L392" s="1"/>
    </row>
    <row r="393" spans="11:12" x14ac:dyDescent="0.25">
      <c r="K393" s="1"/>
      <c r="L393" s="1"/>
    </row>
    <row r="394" spans="11:12" x14ac:dyDescent="0.25">
      <c r="K394" s="1"/>
      <c r="L394" s="1"/>
    </row>
    <row r="395" spans="11:12" x14ac:dyDescent="0.25">
      <c r="K395" s="1"/>
      <c r="L395" s="1"/>
    </row>
    <row r="396" spans="11:12" x14ac:dyDescent="0.25">
      <c r="K396" s="1"/>
      <c r="L396" s="1"/>
    </row>
    <row r="397" spans="11:12" x14ac:dyDescent="0.25">
      <c r="K397" s="1"/>
      <c r="L397" s="1"/>
    </row>
    <row r="398" spans="11:12" x14ac:dyDescent="0.25">
      <c r="K398" s="1"/>
      <c r="L398" s="1"/>
    </row>
    <row r="399" spans="11:12" x14ac:dyDescent="0.25">
      <c r="K399" s="1"/>
      <c r="L399" s="1"/>
    </row>
    <row r="400" spans="11:12" x14ac:dyDescent="0.25">
      <c r="K400" s="1"/>
      <c r="L400" s="1"/>
    </row>
    <row r="401" spans="11:12" x14ac:dyDescent="0.25">
      <c r="K401" s="1"/>
      <c r="L401" s="1"/>
    </row>
    <row r="402" spans="11:12" x14ac:dyDescent="0.25">
      <c r="K402" s="1"/>
      <c r="L402" s="1"/>
    </row>
    <row r="403" spans="11:12" x14ac:dyDescent="0.25">
      <c r="K403" s="1"/>
      <c r="L403" s="1"/>
    </row>
    <row r="404" spans="11:12" x14ac:dyDescent="0.25">
      <c r="K404" s="1"/>
      <c r="L404" s="1"/>
    </row>
    <row r="405" spans="11:12" x14ac:dyDescent="0.25">
      <c r="K405" s="1"/>
      <c r="L405" s="1"/>
    </row>
    <row r="406" spans="11:12" x14ac:dyDescent="0.25">
      <c r="K406" s="1"/>
      <c r="L406" s="1"/>
    </row>
    <row r="407" spans="11:12" x14ac:dyDescent="0.25">
      <c r="K407" s="1"/>
      <c r="L407" s="1"/>
    </row>
    <row r="408" spans="11:12" x14ac:dyDescent="0.25">
      <c r="K408" s="1"/>
      <c r="L408" s="1"/>
    </row>
    <row r="409" spans="11:12" x14ac:dyDescent="0.25">
      <c r="K409" s="1"/>
      <c r="L409" s="1"/>
    </row>
    <row r="410" spans="11:12" x14ac:dyDescent="0.25">
      <c r="K410" s="1"/>
      <c r="L410" s="1"/>
    </row>
    <row r="411" spans="11:12" x14ac:dyDescent="0.25">
      <c r="K411" s="1"/>
      <c r="L411" s="1"/>
    </row>
    <row r="412" spans="11:12" x14ac:dyDescent="0.25">
      <c r="K412" s="1"/>
      <c r="L412" s="1"/>
    </row>
    <row r="413" spans="11:12" x14ac:dyDescent="0.25">
      <c r="K413" s="1"/>
      <c r="L413" s="1"/>
    </row>
    <row r="414" spans="11:12" x14ac:dyDescent="0.25">
      <c r="K414" s="1"/>
      <c r="L414" s="1"/>
    </row>
    <row r="415" spans="11:12" x14ac:dyDescent="0.25">
      <c r="K415" s="1"/>
      <c r="L415" s="1"/>
    </row>
    <row r="416" spans="11:12" x14ac:dyDescent="0.25">
      <c r="K416" s="1"/>
      <c r="L416" s="1"/>
    </row>
    <row r="417" spans="11:12" x14ac:dyDescent="0.25">
      <c r="K417" s="1"/>
      <c r="L417" s="1"/>
    </row>
    <row r="418" spans="11:12" x14ac:dyDescent="0.25">
      <c r="K418" s="1"/>
      <c r="L418" s="1"/>
    </row>
    <row r="419" spans="11:12" x14ac:dyDescent="0.25">
      <c r="K419" s="1"/>
      <c r="L419" s="1"/>
    </row>
    <row r="420" spans="11:12" x14ac:dyDescent="0.25">
      <c r="K420" s="1"/>
      <c r="L420" s="1"/>
    </row>
    <row r="421" spans="11:12" x14ac:dyDescent="0.25">
      <c r="K421" s="1"/>
      <c r="L421" s="1"/>
    </row>
    <row r="422" spans="11:12" x14ac:dyDescent="0.25">
      <c r="K422" s="1"/>
      <c r="L422" s="1"/>
    </row>
    <row r="423" spans="11:12" x14ac:dyDescent="0.25">
      <c r="K423" s="1"/>
      <c r="L423" s="1"/>
    </row>
    <row r="424" spans="11:12" x14ac:dyDescent="0.25">
      <c r="K424" s="1"/>
      <c r="L424" s="1"/>
    </row>
    <row r="425" spans="11:12" x14ac:dyDescent="0.25">
      <c r="K425" s="1"/>
      <c r="L425" s="1"/>
    </row>
    <row r="426" spans="11:12" x14ac:dyDescent="0.25">
      <c r="K426" s="1"/>
      <c r="L426" s="1"/>
    </row>
    <row r="427" spans="11:12" x14ac:dyDescent="0.25">
      <c r="K427" s="1"/>
      <c r="L427" s="1"/>
    </row>
    <row r="428" spans="11:12" x14ac:dyDescent="0.25">
      <c r="K428" s="1"/>
      <c r="L428" s="1"/>
    </row>
    <row r="429" spans="11:12" x14ac:dyDescent="0.25">
      <c r="K429" s="1"/>
      <c r="L429" s="1"/>
    </row>
    <row r="430" spans="11:12" x14ac:dyDescent="0.25">
      <c r="K430" s="1"/>
      <c r="L430" s="1"/>
    </row>
    <row r="431" spans="11:12" x14ac:dyDescent="0.25">
      <c r="K431" s="1"/>
      <c r="L431" s="1"/>
    </row>
    <row r="432" spans="11:12" x14ac:dyDescent="0.25">
      <c r="K432" s="1"/>
      <c r="L432" s="1"/>
    </row>
    <row r="433" spans="11:12" x14ac:dyDescent="0.25">
      <c r="K433" s="1"/>
      <c r="L433" s="1"/>
    </row>
    <row r="434" spans="11:12" x14ac:dyDescent="0.25">
      <c r="K434" s="1"/>
      <c r="L434" s="1"/>
    </row>
    <row r="435" spans="11:12" x14ac:dyDescent="0.25">
      <c r="K435" s="1"/>
      <c r="L435" s="1"/>
    </row>
    <row r="436" spans="11:12" x14ac:dyDescent="0.25">
      <c r="K436" s="1"/>
      <c r="L436" s="1"/>
    </row>
    <row r="437" spans="11:12" x14ac:dyDescent="0.25">
      <c r="K437" s="1"/>
      <c r="L437" s="1"/>
    </row>
    <row r="438" spans="11:12" x14ac:dyDescent="0.25">
      <c r="K438" s="1"/>
      <c r="L438" s="1"/>
    </row>
    <row r="439" spans="11:12" x14ac:dyDescent="0.25">
      <c r="K439" s="1"/>
      <c r="L439" s="1"/>
    </row>
    <row r="440" spans="11:12" x14ac:dyDescent="0.25">
      <c r="K440" s="1"/>
      <c r="L440" s="1"/>
    </row>
    <row r="441" spans="11:12" x14ac:dyDescent="0.25">
      <c r="K441" s="1"/>
      <c r="L441" s="1"/>
    </row>
    <row r="442" spans="11:12" x14ac:dyDescent="0.25">
      <c r="K442" s="1"/>
      <c r="L442" s="1"/>
    </row>
    <row r="443" spans="11:12" x14ac:dyDescent="0.25">
      <c r="K443" s="1"/>
      <c r="L443" s="1"/>
    </row>
    <row r="444" spans="11:12" x14ac:dyDescent="0.25">
      <c r="K444" s="1"/>
      <c r="L444" s="1"/>
    </row>
    <row r="445" spans="11:12" x14ac:dyDescent="0.25">
      <c r="K445" s="1"/>
      <c r="L445" s="1"/>
    </row>
    <row r="446" spans="11:12" x14ac:dyDescent="0.25">
      <c r="K446" s="1"/>
      <c r="L446" s="1"/>
    </row>
    <row r="447" spans="11:12" x14ac:dyDescent="0.25">
      <c r="K447" s="1"/>
      <c r="L447" s="1"/>
    </row>
    <row r="448" spans="11:12" x14ac:dyDescent="0.25">
      <c r="K448" s="1"/>
      <c r="L448" s="1"/>
    </row>
    <row r="449" spans="11:12" x14ac:dyDescent="0.25">
      <c r="K449" s="1"/>
      <c r="L449" s="1"/>
    </row>
    <row r="450" spans="11:12" x14ac:dyDescent="0.25">
      <c r="K450" s="1"/>
      <c r="L450" s="1"/>
    </row>
    <row r="451" spans="11:12" x14ac:dyDescent="0.25">
      <c r="K451" s="1"/>
      <c r="L451" s="1"/>
    </row>
    <row r="452" spans="11:12" x14ac:dyDescent="0.25">
      <c r="K452" s="1"/>
      <c r="L452" s="1"/>
    </row>
    <row r="453" spans="11:12" x14ac:dyDescent="0.25">
      <c r="K453" s="1"/>
      <c r="L453" s="1"/>
    </row>
    <row r="454" spans="11:12" x14ac:dyDescent="0.25">
      <c r="K454" s="1"/>
      <c r="L454" s="1"/>
    </row>
    <row r="455" spans="11:12" x14ac:dyDescent="0.25">
      <c r="K455" s="1"/>
      <c r="L455" s="1"/>
    </row>
    <row r="456" spans="11:12" x14ac:dyDescent="0.25">
      <c r="K456" s="1"/>
      <c r="L456" s="1"/>
    </row>
    <row r="457" spans="11:12" x14ac:dyDescent="0.25">
      <c r="K457" s="1"/>
      <c r="L457" s="1"/>
    </row>
    <row r="458" spans="11:12" x14ac:dyDescent="0.25">
      <c r="K458" s="1"/>
      <c r="L458" s="1"/>
    </row>
    <row r="459" spans="11:12" x14ac:dyDescent="0.25">
      <c r="K459" s="1"/>
      <c r="L459" s="1"/>
    </row>
    <row r="460" spans="11:12" x14ac:dyDescent="0.25">
      <c r="K460" s="1"/>
      <c r="L460" s="1"/>
    </row>
    <row r="461" spans="11:12" x14ac:dyDescent="0.25">
      <c r="K461" s="1"/>
      <c r="L461" s="1"/>
    </row>
    <row r="462" spans="11:12" x14ac:dyDescent="0.25">
      <c r="K462" s="1"/>
      <c r="L462" s="1"/>
    </row>
    <row r="463" spans="11:12" x14ac:dyDescent="0.25">
      <c r="K463" s="1"/>
      <c r="L463" s="1"/>
    </row>
    <row r="464" spans="11:12" x14ac:dyDescent="0.25">
      <c r="K464" s="1"/>
      <c r="L464" s="1"/>
    </row>
    <row r="465" spans="11:12" x14ac:dyDescent="0.25">
      <c r="K465" s="1"/>
      <c r="L465" s="1"/>
    </row>
    <row r="466" spans="11:12" x14ac:dyDescent="0.25">
      <c r="K466" s="1"/>
      <c r="L466" s="1"/>
    </row>
    <row r="467" spans="11:12" x14ac:dyDescent="0.25">
      <c r="K467" s="1"/>
      <c r="L467" s="1"/>
    </row>
    <row r="468" spans="11:12" x14ac:dyDescent="0.25">
      <c r="K468" s="1"/>
      <c r="L468" s="1"/>
    </row>
    <row r="469" spans="11:12" x14ac:dyDescent="0.25">
      <c r="K469" s="1"/>
      <c r="L469" s="1"/>
    </row>
    <row r="470" spans="11:12" x14ac:dyDescent="0.25">
      <c r="K470" s="1"/>
      <c r="L470" s="1"/>
    </row>
    <row r="471" spans="11:12" x14ac:dyDescent="0.25">
      <c r="K471" s="1"/>
      <c r="L471" s="1"/>
    </row>
    <row r="472" spans="11:12" x14ac:dyDescent="0.25">
      <c r="K472" s="1"/>
      <c r="L472" s="1"/>
    </row>
    <row r="473" spans="11:12" x14ac:dyDescent="0.25">
      <c r="K473" s="1"/>
      <c r="L473" s="1"/>
    </row>
    <row r="474" spans="11:12" x14ac:dyDescent="0.25">
      <c r="K474" s="1"/>
      <c r="L474" s="1"/>
    </row>
    <row r="475" spans="11:12" x14ac:dyDescent="0.25">
      <c r="K475" s="1"/>
      <c r="L475" s="1"/>
    </row>
    <row r="476" spans="11:12" x14ac:dyDescent="0.25">
      <c r="K476" s="1"/>
      <c r="L476" s="1"/>
    </row>
    <row r="477" spans="11:12" x14ac:dyDescent="0.25">
      <c r="K477" s="1"/>
      <c r="L477" s="1"/>
    </row>
    <row r="478" spans="11:12" x14ac:dyDescent="0.25">
      <c r="K478" s="1"/>
      <c r="L478" s="1"/>
    </row>
    <row r="479" spans="11:12" x14ac:dyDescent="0.25">
      <c r="K479" s="1"/>
      <c r="L479" s="1"/>
    </row>
    <row r="480" spans="11:12" x14ac:dyDescent="0.25">
      <c r="K480" s="1"/>
      <c r="L480" s="1"/>
    </row>
    <row r="481" spans="11:12" x14ac:dyDescent="0.25">
      <c r="K481" s="1"/>
      <c r="L481" s="1"/>
    </row>
    <row r="482" spans="11:12" x14ac:dyDescent="0.25">
      <c r="K482" s="1"/>
      <c r="L482" s="1"/>
    </row>
    <row r="483" spans="11:12" x14ac:dyDescent="0.25">
      <c r="K483" s="1"/>
      <c r="L483" s="1"/>
    </row>
    <row r="484" spans="11:12" x14ac:dyDescent="0.25">
      <c r="K484" s="1"/>
      <c r="L484" s="1"/>
    </row>
    <row r="485" spans="11:12" x14ac:dyDescent="0.25">
      <c r="K485" s="1"/>
      <c r="L485" s="1"/>
    </row>
    <row r="486" spans="11:12" x14ac:dyDescent="0.25">
      <c r="K486" s="1"/>
      <c r="L486" s="1"/>
    </row>
    <row r="487" spans="11:12" x14ac:dyDescent="0.25">
      <c r="K487" s="1"/>
      <c r="L487" s="1"/>
    </row>
    <row r="488" spans="11:12" x14ac:dyDescent="0.25">
      <c r="K488" s="1"/>
      <c r="L488" s="1"/>
    </row>
    <row r="489" spans="11:12" x14ac:dyDescent="0.25">
      <c r="K489" s="1"/>
      <c r="L489" s="1"/>
    </row>
    <row r="490" spans="11:12" x14ac:dyDescent="0.25">
      <c r="K490" s="1"/>
      <c r="L490" s="1"/>
    </row>
    <row r="491" spans="11:12" x14ac:dyDescent="0.25">
      <c r="K491" s="1"/>
      <c r="L491" s="1"/>
    </row>
    <row r="492" spans="11:12" x14ac:dyDescent="0.25">
      <c r="K492" s="1"/>
      <c r="L492" s="1"/>
    </row>
    <row r="493" spans="11:12" x14ac:dyDescent="0.25">
      <c r="K493" s="1"/>
      <c r="L493" s="1"/>
    </row>
    <row r="494" spans="11:12" x14ac:dyDescent="0.25">
      <c r="K494" s="1"/>
      <c r="L494" s="1"/>
    </row>
    <row r="495" spans="11:12" x14ac:dyDescent="0.25">
      <c r="K495" s="1"/>
      <c r="L495" s="1"/>
    </row>
    <row r="496" spans="11:12" x14ac:dyDescent="0.25">
      <c r="K496" s="1"/>
      <c r="L496" s="1"/>
    </row>
    <row r="497" spans="11:12" x14ac:dyDescent="0.25">
      <c r="K497" s="1"/>
      <c r="L497" s="1"/>
    </row>
    <row r="498" spans="11:12" x14ac:dyDescent="0.25">
      <c r="K498" s="1"/>
      <c r="L498" s="1"/>
    </row>
    <row r="499" spans="11:12" x14ac:dyDescent="0.25">
      <c r="K499" s="1"/>
      <c r="L499" s="1"/>
    </row>
    <row r="500" spans="11:12" x14ac:dyDescent="0.25">
      <c r="K500" s="1"/>
      <c r="L500" s="1"/>
    </row>
    <row r="501" spans="11:12" x14ac:dyDescent="0.25">
      <c r="K501" s="1"/>
      <c r="L501" s="1"/>
    </row>
    <row r="502" spans="11:12" x14ac:dyDescent="0.25">
      <c r="K502" s="1"/>
      <c r="L502" s="1"/>
    </row>
    <row r="503" spans="11:12" x14ac:dyDescent="0.25">
      <c r="K503" s="1"/>
      <c r="L503" s="1"/>
    </row>
    <row r="504" spans="11:12" x14ac:dyDescent="0.25">
      <c r="K504" s="1"/>
      <c r="L504" s="1"/>
    </row>
    <row r="505" spans="11:12" x14ac:dyDescent="0.25">
      <c r="K505" s="1"/>
      <c r="L505" s="1"/>
    </row>
    <row r="506" spans="11:12" x14ac:dyDescent="0.25">
      <c r="K506" s="1"/>
      <c r="L506" s="1"/>
    </row>
    <row r="507" spans="11:12" x14ac:dyDescent="0.25">
      <c r="K507" s="1"/>
      <c r="L507" s="1"/>
    </row>
    <row r="508" spans="11:12" x14ac:dyDescent="0.25">
      <c r="K508" s="1"/>
      <c r="L508" s="1"/>
    </row>
    <row r="509" spans="11:12" x14ac:dyDescent="0.25">
      <c r="K509" s="1"/>
      <c r="L509" s="1"/>
    </row>
    <row r="510" spans="11:12" x14ac:dyDescent="0.25">
      <c r="K510" s="1"/>
      <c r="L510" s="1"/>
    </row>
    <row r="511" spans="11:12" x14ac:dyDescent="0.25">
      <c r="K511" s="1"/>
      <c r="L511" s="1"/>
    </row>
    <row r="512" spans="11:12" x14ac:dyDescent="0.25">
      <c r="K512" s="1"/>
      <c r="L512" s="1"/>
    </row>
    <row r="513" spans="11:12" x14ac:dyDescent="0.25">
      <c r="K513" s="1"/>
      <c r="L513" s="1"/>
    </row>
    <row r="514" spans="11:12" x14ac:dyDescent="0.25">
      <c r="K514" s="1"/>
      <c r="L514" s="1"/>
    </row>
    <row r="515" spans="11:12" x14ac:dyDescent="0.25">
      <c r="K515" s="1"/>
      <c r="L515" s="1"/>
    </row>
    <row r="516" spans="11:12" x14ac:dyDescent="0.25">
      <c r="K516" s="1"/>
      <c r="L516" s="1"/>
    </row>
    <row r="517" spans="11:12" x14ac:dyDescent="0.25">
      <c r="K517" s="1"/>
      <c r="L517" s="1"/>
    </row>
    <row r="518" spans="11:12" x14ac:dyDescent="0.25">
      <c r="K518" s="1"/>
      <c r="L518" s="1"/>
    </row>
    <row r="519" spans="11:12" x14ac:dyDescent="0.25">
      <c r="K519" s="1"/>
      <c r="L519" s="1"/>
    </row>
    <row r="520" spans="11:12" x14ac:dyDescent="0.25">
      <c r="K520" s="1"/>
      <c r="L520" s="1"/>
    </row>
    <row r="521" spans="11:12" x14ac:dyDescent="0.25">
      <c r="K521" s="1"/>
      <c r="L521" s="1"/>
    </row>
    <row r="522" spans="11:12" x14ac:dyDescent="0.25">
      <c r="K522" s="1"/>
      <c r="L522" s="1"/>
    </row>
    <row r="523" spans="11:12" x14ac:dyDescent="0.25">
      <c r="K523" s="1"/>
      <c r="L523" s="1"/>
    </row>
    <row r="524" spans="11:12" x14ac:dyDescent="0.25">
      <c r="K524" s="1"/>
      <c r="L524" s="1"/>
    </row>
    <row r="525" spans="11:12" x14ac:dyDescent="0.25">
      <c r="K525" s="1"/>
      <c r="L525" s="1"/>
    </row>
    <row r="526" spans="11:12" x14ac:dyDescent="0.25">
      <c r="K526" s="1"/>
      <c r="L526" s="1"/>
    </row>
    <row r="527" spans="11:12" x14ac:dyDescent="0.25">
      <c r="K527" s="1"/>
      <c r="L527" s="1"/>
    </row>
    <row r="528" spans="11:12" x14ac:dyDescent="0.25">
      <c r="K528" s="1"/>
      <c r="L528" s="1"/>
    </row>
    <row r="529" spans="11:12" x14ac:dyDescent="0.25">
      <c r="K529" s="1"/>
      <c r="L529" s="1"/>
    </row>
    <row r="530" spans="11:12" x14ac:dyDescent="0.25">
      <c r="K530" s="1"/>
      <c r="L530" s="1"/>
    </row>
    <row r="531" spans="11:12" x14ac:dyDescent="0.25">
      <c r="K531" s="1"/>
      <c r="L531" s="1"/>
    </row>
    <row r="532" spans="11:12" x14ac:dyDescent="0.25">
      <c r="K532" s="1"/>
      <c r="L532" s="1"/>
    </row>
    <row r="533" spans="11:12" x14ac:dyDescent="0.25">
      <c r="K533" s="1"/>
      <c r="L533" s="1"/>
    </row>
    <row r="534" spans="11:12" x14ac:dyDescent="0.25">
      <c r="K534" s="1"/>
      <c r="L534" s="1"/>
    </row>
    <row r="535" spans="11:12" x14ac:dyDescent="0.25">
      <c r="K535" s="1"/>
      <c r="L535" s="1"/>
    </row>
    <row r="536" spans="11:12" x14ac:dyDescent="0.25">
      <c r="K536" s="1"/>
      <c r="L536" s="1"/>
    </row>
    <row r="537" spans="11:12" x14ac:dyDescent="0.25">
      <c r="K537" s="1"/>
      <c r="L537" s="1"/>
    </row>
    <row r="538" spans="11:12" x14ac:dyDescent="0.25">
      <c r="K538" s="1"/>
      <c r="L538" s="1"/>
    </row>
    <row r="539" spans="11:12" x14ac:dyDescent="0.25">
      <c r="K539" s="1"/>
      <c r="L539" s="1"/>
    </row>
    <row r="540" spans="11:12" x14ac:dyDescent="0.25">
      <c r="K540" s="1"/>
      <c r="L540" s="1"/>
    </row>
    <row r="541" spans="11:12" x14ac:dyDescent="0.25">
      <c r="K541" s="1"/>
      <c r="L541" s="1"/>
    </row>
    <row r="542" spans="11:12" x14ac:dyDescent="0.25">
      <c r="K542" s="1"/>
      <c r="L542" s="1"/>
    </row>
    <row r="543" spans="11:12" x14ac:dyDescent="0.25">
      <c r="K543" s="1"/>
      <c r="L543" s="1"/>
    </row>
    <row r="544" spans="11:12" x14ac:dyDescent="0.25">
      <c r="K544" s="1"/>
      <c r="L544" s="1"/>
    </row>
    <row r="545" spans="11:12" x14ac:dyDescent="0.25">
      <c r="K545" s="1"/>
      <c r="L545" s="1"/>
    </row>
    <row r="546" spans="11:12" x14ac:dyDescent="0.25">
      <c r="K546" s="1"/>
      <c r="L546" s="1"/>
    </row>
    <row r="547" spans="11:12" x14ac:dyDescent="0.25">
      <c r="K547" s="1"/>
      <c r="L547" s="1"/>
    </row>
    <row r="548" spans="11:12" x14ac:dyDescent="0.25">
      <c r="K548" s="1"/>
      <c r="L548" s="1"/>
    </row>
    <row r="549" spans="11:12" x14ac:dyDescent="0.25">
      <c r="K549" s="1"/>
      <c r="L549" s="1"/>
    </row>
    <row r="550" spans="11:12" x14ac:dyDescent="0.25">
      <c r="K550" s="1"/>
      <c r="L550" s="1"/>
    </row>
    <row r="551" spans="11:12" x14ac:dyDescent="0.25">
      <c r="K551" s="1"/>
      <c r="L551" s="1"/>
    </row>
    <row r="552" spans="11:12" x14ac:dyDescent="0.25">
      <c r="K552" s="1"/>
      <c r="L552" s="1"/>
    </row>
    <row r="553" spans="11:12" x14ac:dyDescent="0.25">
      <c r="K553" s="1"/>
      <c r="L553" s="1"/>
    </row>
    <row r="554" spans="11:12" x14ac:dyDescent="0.25">
      <c r="K554" s="1"/>
      <c r="L554" s="1"/>
    </row>
    <row r="555" spans="11:12" x14ac:dyDescent="0.25">
      <c r="K555" s="1"/>
      <c r="L555" s="1"/>
    </row>
    <row r="556" spans="11:12" x14ac:dyDescent="0.25">
      <c r="K556" s="1"/>
      <c r="L556" s="1"/>
    </row>
    <row r="557" spans="11:12" x14ac:dyDescent="0.25">
      <c r="K557" s="1"/>
      <c r="L557" s="1"/>
    </row>
    <row r="558" spans="11:12" x14ac:dyDescent="0.25">
      <c r="K558" s="1"/>
      <c r="L558" s="1"/>
    </row>
    <row r="559" spans="11:12" x14ac:dyDescent="0.25">
      <c r="K559" s="1"/>
      <c r="L559" s="1"/>
    </row>
    <row r="560" spans="11:12" x14ac:dyDescent="0.25">
      <c r="K560" s="1"/>
      <c r="L560" s="1"/>
    </row>
    <row r="561" spans="11:12" x14ac:dyDescent="0.25">
      <c r="K561" s="1"/>
      <c r="L561" s="1"/>
    </row>
    <row r="562" spans="11:12" x14ac:dyDescent="0.25">
      <c r="K562" s="1"/>
      <c r="L562" s="1"/>
    </row>
    <row r="563" spans="11:12" x14ac:dyDescent="0.25">
      <c r="K563" s="1"/>
      <c r="L563" s="1"/>
    </row>
    <row r="564" spans="11:12" x14ac:dyDescent="0.25">
      <c r="K564" s="1"/>
      <c r="L564" s="1"/>
    </row>
    <row r="565" spans="11:12" x14ac:dyDescent="0.25">
      <c r="K565" s="1"/>
      <c r="L565" s="1"/>
    </row>
    <row r="566" spans="11:12" x14ac:dyDescent="0.25">
      <c r="K566" s="1"/>
      <c r="L566" s="1"/>
    </row>
    <row r="567" spans="11:12" x14ac:dyDescent="0.25">
      <c r="K567" s="1"/>
      <c r="L567" s="1"/>
    </row>
    <row r="568" spans="11:12" x14ac:dyDescent="0.25">
      <c r="K568" s="1"/>
      <c r="L568" s="1"/>
    </row>
    <row r="569" spans="11:12" x14ac:dyDescent="0.25">
      <c r="K569" s="1"/>
      <c r="L569" s="1"/>
    </row>
    <row r="570" spans="11:12" x14ac:dyDescent="0.25">
      <c r="K570" s="1"/>
      <c r="L570" s="1"/>
    </row>
    <row r="571" spans="11:12" x14ac:dyDescent="0.25">
      <c r="K571" s="1"/>
      <c r="L571" s="1"/>
    </row>
    <row r="572" spans="11:12" x14ac:dyDescent="0.25">
      <c r="K572" s="1"/>
      <c r="L572" s="1"/>
    </row>
    <row r="573" spans="11:12" x14ac:dyDescent="0.25">
      <c r="K573" s="1"/>
      <c r="L573" s="1"/>
    </row>
    <row r="574" spans="11:12" x14ac:dyDescent="0.25">
      <c r="K574" s="1"/>
      <c r="L574" s="1"/>
    </row>
    <row r="575" spans="11:12" x14ac:dyDescent="0.25">
      <c r="K575" s="1"/>
      <c r="L575" s="1"/>
    </row>
    <row r="576" spans="11:12" x14ac:dyDescent="0.25">
      <c r="K576" s="1"/>
      <c r="L576" s="1"/>
    </row>
    <row r="577" spans="11:12" x14ac:dyDescent="0.25">
      <c r="K577" s="1"/>
      <c r="L577" s="1"/>
    </row>
    <row r="578" spans="11:12" x14ac:dyDescent="0.25">
      <c r="K578" s="1"/>
      <c r="L578" s="1"/>
    </row>
    <row r="579" spans="11:12" x14ac:dyDescent="0.25">
      <c r="K579" s="1"/>
      <c r="L579" s="1"/>
    </row>
    <row r="580" spans="11:12" x14ac:dyDescent="0.25">
      <c r="K580" s="1"/>
      <c r="L580" s="1"/>
    </row>
    <row r="581" spans="11:12" x14ac:dyDescent="0.25">
      <c r="K581" s="1"/>
      <c r="L581" s="1"/>
    </row>
    <row r="582" spans="11:12" x14ac:dyDescent="0.25">
      <c r="K582" s="1"/>
      <c r="L582" s="1"/>
    </row>
    <row r="583" spans="11:12" x14ac:dyDescent="0.25">
      <c r="K583" s="1"/>
      <c r="L583" s="1"/>
    </row>
    <row r="584" spans="11:12" x14ac:dyDescent="0.25">
      <c r="K584" s="1"/>
      <c r="L584" s="1"/>
    </row>
    <row r="585" spans="11:12" x14ac:dyDescent="0.25">
      <c r="K585" s="1"/>
      <c r="L585" s="1"/>
    </row>
    <row r="586" spans="11:12" x14ac:dyDescent="0.25">
      <c r="K586" s="1"/>
      <c r="L586" s="1"/>
    </row>
    <row r="587" spans="11:12" x14ac:dyDescent="0.25">
      <c r="K587" s="1"/>
      <c r="L587" s="1"/>
    </row>
    <row r="588" spans="11:12" x14ac:dyDescent="0.25">
      <c r="K588" s="1"/>
      <c r="L588" s="1"/>
    </row>
    <row r="589" spans="11:12" x14ac:dyDescent="0.25">
      <c r="K589" s="1"/>
      <c r="L589" s="1"/>
    </row>
    <row r="590" spans="11:12" x14ac:dyDescent="0.25">
      <c r="K590" s="1"/>
      <c r="L590" s="1"/>
    </row>
    <row r="591" spans="11:12" x14ac:dyDescent="0.25">
      <c r="K591" s="1"/>
      <c r="L591" s="1"/>
    </row>
    <row r="592" spans="11:12" x14ac:dyDescent="0.25">
      <c r="K592" s="1"/>
      <c r="L592" s="1"/>
    </row>
    <row r="593" spans="11:12" x14ac:dyDescent="0.25">
      <c r="K593" s="1"/>
      <c r="L593" s="1"/>
    </row>
    <row r="594" spans="11:12" x14ac:dyDescent="0.25">
      <c r="K594" s="1"/>
      <c r="L594" s="1"/>
    </row>
    <row r="595" spans="11:12" x14ac:dyDescent="0.25">
      <c r="K595" s="1"/>
      <c r="L595" s="1"/>
    </row>
    <row r="596" spans="11:12" x14ac:dyDescent="0.25">
      <c r="K596" s="1"/>
      <c r="L596" s="1"/>
    </row>
    <row r="597" spans="11:12" x14ac:dyDescent="0.25">
      <c r="K597" s="1"/>
      <c r="L597" s="1"/>
    </row>
    <row r="598" spans="11:12" x14ac:dyDescent="0.25">
      <c r="K598" s="1"/>
      <c r="L598" s="1"/>
    </row>
    <row r="599" spans="11:12" x14ac:dyDescent="0.25">
      <c r="K599" s="1"/>
      <c r="L599" s="1"/>
    </row>
    <row r="600" spans="11:12" x14ac:dyDescent="0.25">
      <c r="K600" s="1"/>
      <c r="L600" s="1"/>
    </row>
    <row r="601" spans="11:12" x14ac:dyDescent="0.25">
      <c r="K601" s="1"/>
      <c r="L601" s="1"/>
    </row>
    <row r="602" spans="11:12" x14ac:dyDescent="0.25">
      <c r="K602" s="1"/>
      <c r="L602" s="1"/>
    </row>
    <row r="603" spans="11:12" x14ac:dyDescent="0.25">
      <c r="K603" s="1"/>
      <c r="L603" s="1"/>
    </row>
    <row r="604" spans="11:12" x14ac:dyDescent="0.25">
      <c r="K604" s="1"/>
      <c r="L604" s="1"/>
    </row>
    <row r="605" spans="11:12" x14ac:dyDescent="0.25">
      <c r="K605" s="1"/>
      <c r="L605" s="1"/>
    </row>
    <row r="606" spans="11:12" x14ac:dyDescent="0.25">
      <c r="K606" s="1"/>
      <c r="L606" s="1"/>
    </row>
    <row r="607" spans="11:12" x14ac:dyDescent="0.25">
      <c r="K607" s="1"/>
      <c r="L607" s="1"/>
    </row>
    <row r="608" spans="11:12" x14ac:dyDescent="0.25">
      <c r="K608" s="1"/>
      <c r="L608" s="1"/>
    </row>
    <row r="609" spans="11:12" x14ac:dyDescent="0.25">
      <c r="K609" s="1"/>
      <c r="L609" s="1"/>
    </row>
    <row r="610" spans="11:12" x14ac:dyDescent="0.25">
      <c r="K610" s="1"/>
      <c r="L610" s="1"/>
    </row>
    <row r="611" spans="11:12" x14ac:dyDescent="0.25">
      <c r="K611" s="1"/>
      <c r="L611" s="1"/>
    </row>
    <row r="612" spans="11:12" x14ac:dyDescent="0.25">
      <c r="K612" s="1"/>
      <c r="L612" s="1"/>
    </row>
    <row r="613" spans="11:12" x14ac:dyDescent="0.25">
      <c r="K613" s="1"/>
      <c r="L613" s="1"/>
    </row>
    <row r="614" spans="11:12" x14ac:dyDescent="0.25">
      <c r="K614" s="1"/>
      <c r="L614" s="1"/>
    </row>
    <row r="615" spans="11:12" x14ac:dyDescent="0.25">
      <c r="K615" s="1"/>
      <c r="L615" s="1"/>
    </row>
    <row r="616" spans="11:12" x14ac:dyDescent="0.25">
      <c r="K616" s="1"/>
      <c r="L616" s="1"/>
    </row>
    <row r="617" spans="11:12" x14ac:dyDescent="0.25">
      <c r="K617" s="1"/>
      <c r="L617" s="1"/>
    </row>
    <row r="618" spans="11:12" x14ac:dyDescent="0.25">
      <c r="K618" s="1"/>
      <c r="L618" s="1"/>
    </row>
    <row r="619" spans="11:12" x14ac:dyDescent="0.25">
      <c r="K619" s="1"/>
      <c r="L619" s="1"/>
    </row>
    <row r="620" spans="11:12" x14ac:dyDescent="0.25">
      <c r="K620" s="1"/>
      <c r="L620" s="1"/>
    </row>
    <row r="621" spans="11:12" x14ac:dyDescent="0.25">
      <c r="K621" s="1"/>
      <c r="L621" s="1"/>
    </row>
    <row r="622" spans="11:12" x14ac:dyDescent="0.25">
      <c r="K622" s="1"/>
      <c r="L622" s="1"/>
    </row>
    <row r="623" spans="11:12" x14ac:dyDescent="0.25">
      <c r="K623" s="1"/>
      <c r="L623" s="1"/>
    </row>
    <row r="624" spans="11:12" x14ac:dyDescent="0.25">
      <c r="K624" s="1"/>
      <c r="L624" s="1"/>
    </row>
    <row r="625" spans="11:12" x14ac:dyDescent="0.25">
      <c r="K625" s="1"/>
      <c r="L625" s="1"/>
    </row>
    <row r="626" spans="11:12" x14ac:dyDescent="0.25">
      <c r="K626" s="1"/>
      <c r="L626" s="1"/>
    </row>
    <row r="627" spans="11:12" x14ac:dyDescent="0.25">
      <c r="K627" s="1"/>
      <c r="L627" s="1"/>
    </row>
    <row r="628" spans="11:12" x14ac:dyDescent="0.25">
      <c r="K628" s="1"/>
      <c r="L628" s="1"/>
    </row>
    <row r="629" spans="11:12" x14ac:dyDescent="0.25">
      <c r="K629" s="1"/>
      <c r="L629" s="1"/>
    </row>
    <row r="630" spans="11:12" x14ac:dyDescent="0.25">
      <c r="K630" s="1"/>
      <c r="L630" s="1"/>
    </row>
    <row r="631" spans="11:12" x14ac:dyDescent="0.25">
      <c r="K631" s="1"/>
      <c r="L631" s="1"/>
    </row>
    <row r="632" spans="11:12" x14ac:dyDescent="0.25">
      <c r="K632" s="1"/>
      <c r="L632" s="1"/>
    </row>
    <row r="633" spans="11:12" x14ac:dyDescent="0.25">
      <c r="K633" s="1"/>
      <c r="L633" s="1"/>
    </row>
    <row r="634" spans="11:12" x14ac:dyDescent="0.25">
      <c r="K634" s="1"/>
      <c r="L634" s="1"/>
    </row>
    <row r="635" spans="11:12" x14ac:dyDescent="0.25">
      <c r="K635" s="1"/>
      <c r="L635" s="1"/>
    </row>
    <row r="636" spans="11:12" x14ac:dyDescent="0.25">
      <c r="K636" s="1"/>
      <c r="L636" s="1"/>
    </row>
    <row r="637" spans="11:12" x14ac:dyDescent="0.25">
      <c r="K637" s="1"/>
      <c r="L637" s="1"/>
    </row>
    <row r="638" spans="11:12" x14ac:dyDescent="0.25">
      <c r="K638" s="1"/>
      <c r="L638" s="1"/>
    </row>
    <row r="639" spans="11:12" x14ac:dyDescent="0.25">
      <c r="K639" s="1"/>
      <c r="L639" s="1"/>
    </row>
    <row r="640" spans="11:12" x14ac:dyDescent="0.25">
      <c r="K640" s="1"/>
      <c r="L640" s="1"/>
    </row>
    <row r="641" spans="11:12" x14ac:dyDescent="0.25">
      <c r="K641" s="1"/>
      <c r="L641" s="1"/>
    </row>
    <row r="642" spans="11:12" x14ac:dyDescent="0.25">
      <c r="K642" s="1"/>
      <c r="L642" s="1"/>
    </row>
    <row r="643" spans="11:12" x14ac:dyDescent="0.25">
      <c r="K643" s="1"/>
      <c r="L643" s="1"/>
    </row>
    <row r="644" spans="11:12" x14ac:dyDescent="0.25">
      <c r="K644" s="1"/>
      <c r="L644" s="1"/>
    </row>
    <row r="645" spans="11:12" x14ac:dyDescent="0.25">
      <c r="K645" s="1"/>
      <c r="L645" s="1"/>
    </row>
    <row r="646" spans="11:12" x14ac:dyDescent="0.25">
      <c r="K646" s="1"/>
      <c r="L646" s="1"/>
    </row>
    <row r="647" spans="11:12" x14ac:dyDescent="0.25">
      <c r="K647" s="1"/>
      <c r="L647" s="1"/>
    </row>
    <row r="648" spans="11:12" x14ac:dyDescent="0.25">
      <c r="K648" s="1"/>
      <c r="L648" s="1"/>
    </row>
    <row r="649" spans="11:12" x14ac:dyDescent="0.25">
      <c r="K649" s="1"/>
      <c r="L649" s="1"/>
    </row>
    <row r="650" spans="11:12" x14ac:dyDescent="0.25">
      <c r="K650" s="1"/>
      <c r="L650" s="1"/>
    </row>
    <row r="651" spans="11:12" x14ac:dyDescent="0.25">
      <c r="K651" s="1"/>
      <c r="L651" s="1"/>
    </row>
    <row r="652" spans="11:12" x14ac:dyDescent="0.25">
      <c r="K652" s="1"/>
      <c r="L652" s="1"/>
    </row>
    <row r="653" spans="11:12" x14ac:dyDescent="0.25">
      <c r="K653" s="1"/>
      <c r="L653" s="1"/>
    </row>
    <row r="654" spans="11:12" x14ac:dyDescent="0.25">
      <c r="K654" s="1"/>
      <c r="L654" s="1"/>
    </row>
    <row r="655" spans="11:12" x14ac:dyDescent="0.25">
      <c r="K655" s="1"/>
      <c r="L655" s="1"/>
    </row>
    <row r="656" spans="11:12" x14ac:dyDescent="0.25">
      <c r="K656" s="1"/>
      <c r="L656" s="1"/>
    </row>
    <row r="657" spans="11:12" x14ac:dyDescent="0.25">
      <c r="K657" s="1"/>
      <c r="L657" s="1"/>
    </row>
    <row r="658" spans="11:12" x14ac:dyDescent="0.25">
      <c r="K658" s="1"/>
      <c r="L658" s="1"/>
    </row>
    <row r="659" spans="11:12" x14ac:dyDescent="0.25">
      <c r="K659" s="1"/>
      <c r="L659" s="1"/>
    </row>
    <row r="660" spans="11:12" x14ac:dyDescent="0.25">
      <c r="K660" s="1"/>
      <c r="L660" s="1"/>
    </row>
    <row r="661" spans="11:12" x14ac:dyDescent="0.25">
      <c r="K661" s="1"/>
      <c r="L661" s="1"/>
    </row>
    <row r="662" spans="11:12" x14ac:dyDescent="0.25">
      <c r="K662" s="1"/>
      <c r="L662" s="1"/>
    </row>
    <row r="663" spans="11:12" x14ac:dyDescent="0.25">
      <c r="K663" s="1"/>
      <c r="L663" s="1"/>
    </row>
    <row r="664" spans="11:12" x14ac:dyDescent="0.25">
      <c r="K664" s="1"/>
      <c r="L664" s="1"/>
    </row>
    <row r="665" spans="11:12" x14ac:dyDescent="0.25">
      <c r="K665" s="1"/>
      <c r="L665" s="1"/>
    </row>
    <row r="666" spans="11:12" x14ac:dyDescent="0.25">
      <c r="K666" s="1"/>
      <c r="L666" s="1"/>
    </row>
    <row r="667" spans="11:12" x14ac:dyDescent="0.25">
      <c r="K667" s="1"/>
      <c r="L667" s="1"/>
    </row>
    <row r="668" spans="11:12" x14ac:dyDescent="0.25">
      <c r="K668" s="1"/>
      <c r="L668" s="1"/>
    </row>
    <row r="669" spans="11:12" x14ac:dyDescent="0.25">
      <c r="K669" s="1"/>
      <c r="L669" s="1"/>
    </row>
    <row r="670" spans="11:12" x14ac:dyDescent="0.25">
      <c r="K670" s="1"/>
      <c r="L670" s="1"/>
    </row>
    <row r="671" spans="11:12" x14ac:dyDescent="0.25">
      <c r="K671" s="1"/>
      <c r="L671" s="1"/>
    </row>
    <row r="672" spans="11:12" x14ac:dyDescent="0.25">
      <c r="K672" s="1"/>
      <c r="L672" s="1"/>
    </row>
    <row r="673" spans="11:12" x14ac:dyDescent="0.25">
      <c r="K673" s="1"/>
      <c r="L673" s="1"/>
    </row>
    <row r="674" spans="11:12" x14ac:dyDescent="0.25">
      <c r="K674" s="1"/>
      <c r="L674" s="1"/>
    </row>
    <row r="675" spans="11:12" x14ac:dyDescent="0.25">
      <c r="K675" s="1"/>
      <c r="L675" s="1"/>
    </row>
    <row r="676" spans="11:12" x14ac:dyDescent="0.25">
      <c r="K676" s="1"/>
      <c r="L676" s="1"/>
    </row>
    <row r="677" spans="11:12" x14ac:dyDescent="0.25">
      <c r="K677" s="1"/>
      <c r="L677" s="1"/>
    </row>
    <row r="678" spans="11:12" x14ac:dyDescent="0.25">
      <c r="K678" s="1"/>
      <c r="L678" s="1"/>
    </row>
    <row r="679" spans="11:12" x14ac:dyDescent="0.25">
      <c r="K679" s="1"/>
      <c r="L679" s="1"/>
    </row>
    <row r="680" spans="11:12" x14ac:dyDescent="0.25">
      <c r="K680" s="1"/>
      <c r="L680" s="1"/>
    </row>
    <row r="681" spans="11:12" x14ac:dyDescent="0.25">
      <c r="K681" s="1"/>
      <c r="L681" s="1"/>
    </row>
    <row r="682" spans="11:12" x14ac:dyDescent="0.25">
      <c r="K682" s="1"/>
      <c r="L682" s="1"/>
    </row>
    <row r="683" spans="11:12" x14ac:dyDescent="0.25">
      <c r="K683" s="1"/>
      <c r="L683" s="1"/>
    </row>
    <row r="684" spans="11:12" x14ac:dyDescent="0.25">
      <c r="K684" s="1"/>
      <c r="L684" s="1"/>
    </row>
    <row r="685" spans="11:12" x14ac:dyDescent="0.25">
      <c r="K685" s="1"/>
      <c r="L685" s="1"/>
    </row>
    <row r="686" spans="11:12" x14ac:dyDescent="0.25">
      <c r="K686" s="1"/>
      <c r="L686" s="1"/>
    </row>
    <row r="687" spans="11:12" x14ac:dyDescent="0.25">
      <c r="K687" s="1"/>
      <c r="L687" s="1"/>
    </row>
    <row r="688" spans="11:12" x14ac:dyDescent="0.25">
      <c r="K688" s="1"/>
      <c r="L688" s="1"/>
    </row>
    <row r="689" spans="11:12" x14ac:dyDescent="0.25">
      <c r="K689" s="1"/>
      <c r="L689" s="1"/>
    </row>
    <row r="690" spans="11:12" x14ac:dyDescent="0.25">
      <c r="K690" s="1"/>
      <c r="L690" s="1"/>
    </row>
    <row r="691" spans="11:12" x14ac:dyDescent="0.25">
      <c r="K691" s="1"/>
      <c r="L691" s="1"/>
    </row>
    <row r="692" spans="11:12" x14ac:dyDescent="0.25">
      <c r="K692" s="1"/>
      <c r="L692" s="1"/>
    </row>
    <row r="693" spans="11:12" x14ac:dyDescent="0.25">
      <c r="K693" s="1"/>
      <c r="L693" s="1"/>
    </row>
    <row r="694" spans="11:12" x14ac:dyDescent="0.25">
      <c r="K694" s="1"/>
      <c r="L694" s="1"/>
    </row>
    <row r="695" spans="11:12" x14ac:dyDescent="0.25">
      <c r="K695" s="1"/>
      <c r="L695" s="1"/>
    </row>
    <row r="696" spans="11:12" x14ac:dyDescent="0.25">
      <c r="K696" s="1"/>
      <c r="L696" s="1"/>
    </row>
    <row r="697" spans="11:12" x14ac:dyDescent="0.25">
      <c r="K697" s="1"/>
      <c r="L697" s="1"/>
    </row>
    <row r="698" spans="11:12" x14ac:dyDescent="0.25">
      <c r="K698" s="1"/>
      <c r="L698" s="1"/>
    </row>
    <row r="699" spans="11:12" x14ac:dyDescent="0.25">
      <c r="K699" s="1"/>
      <c r="L699" s="1"/>
    </row>
    <row r="700" spans="11:12" x14ac:dyDescent="0.25">
      <c r="K700" s="1"/>
      <c r="L700" s="1"/>
    </row>
    <row r="701" spans="11:12" x14ac:dyDescent="0.25">
      <c r="K701" s="1"/>
      <c r="L701" s="1"/>
    </row>
    <row r="702" spans="11:12" x14ac:dyDescent="0.25">
      <c r="K702" s="1"/>
      <c r="L702" s="1"/>
    </row>
    <row r="703" spans="11:12" x14ac:dyDescent="0.25">
      <c r="K703" s="1"/>
      <c r="L703" s="1"/>
    </row>
    <row r="704" spans="11:12" x14ac:dyDescent="0.25">
      <c r="K704" s="1"/>
      <c r="L704" s="1"/>
    </row>
    <row r="705" spans="11:12" x14ac:dyDescent="0.25">
      <c r="K705" s="1"/>
      <c r="L705" s="1"/>
    </row>
    <row r="706" spans="11:12" x14ac:dyDescent="0.25">
      <c r="L706" s="32"/>
    </row>
    <row r="707" spans="11:12" x14ac:dyDescent="0.25">
      <c r="L707" s="32"/>
    </row>
    <row r="708" spans="11:12" x14ac:dyDescent="0.25">
      <c r="L708" s="32"/>
    </row>
    <row r="709" spans="11:12" x14ac:dyDescent="0.25">
      <c r="L709" s="32"/>
    </row>
    <row r="710" spans="11:12" x14ac:dyDescent="0.25">
      <c r="L710" s="32"/>
    </row>
  </sheetData>
  <mergeCells count="2">
    <mergeCell ref="A2:C2"/>
    <mergeCell ref="A82:J86"/>
  </mergeCells>
  <phoneticPr fontId="0" type="noConversion"/>
  <conditionalFormatting sqref="K7">
    <cfRule type="containsBlanks" dxfId="0" priority="1" stopIfTrue="1">
      <formula>LEN(TRIM(K7))=0</formula>
    </cfRule>
  </conditionalFormatting>
  <printOptions horizontalCentered="1" verticalCentered="1"/>
  <pageMargins left="0" right="0" top="0" bottom="0" header="0" footer="0"/>
  <pageSetup paperSize="9" pageOrder="overThenDown" orientation="landscape" horizontalDpi="200" verticalDpi="200" r:id="rId1"/>
  <headerFooter alignWithMargins="0">
    <oddFooter>&amp;L&amp;BAltium Limited Confidential&amp;B&amp;C&amp;D&amp;RPage &amp;P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D4E59823D3554791AA3CA36079676B" ma:contentTypeVersion="10" ma:contentTypeDescription="Create a new document." ma:contentTypeScope="" ma:versionID="f8c454cc56b381c8f0c433cbca1f8c2f">
  <xsd:schema xmlns:xsd="http://www.w3.org/2001/XMLSchema" xmlns:xs="http://www.w3.org/2001/XMLSchema" xmlns:p="http://schemas.microsoft.com/office/2006/metadata/properties" xmlns:ns3="cebad79f-9188-4c37-899b-4241cc056e06" xmlns:ns4="418ca62e-d20b-4f0f-9941-1078bfd157b0" targetNamespace="http://schemas.microsoft.com/office/2006/metadata/properties" ma:root="true" ma:fieldsID="2bf651b50b0868a22fea802fd85ef94e" ns3:_="" ns4:_="">
    <xsd:import namespace="cebad79f-9188-4c37-899b-4241cc056e06"/>
    <xsd:import namespace="418ca62e-d20b-4f0f-9941-1078bfd157b0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bad79f-9188-4c37-899b-4241cc056e0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8ca62e-d20b-4f0f-9941-1078bfd157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353DD0C-A09B-4F59-9E20-3803A9CE16C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D5A70B4-CB04-4BF5-916C-B35408B1293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ebad79f-9188-4c37-899b-4241cc056e06"/>
    <ds:schemaRef ds:uri="418ca62e-d20b-4f0f-9941-1078bfd157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 Report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KK</dc:creator>
  <cp:lastModifiedBy>Gójski Łukasz (STUD)</cp:lastModifiedBy>
  <cp:lastPrinted>2002-11-05T13:50:54Z</cp:lastPrinted>
  <dcterms:created xsi:type="dcterms:W3CDTF">2000-10-27T00:30:29Z</dcterms:created>
  <dcterms:modified xsi:type="dcterms:W3CDTF">2026-04-10T14:36:32Z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0x010100DDD4E59823D3554791AA3CA36079676B</vt:lpwstr>
  </property>
</Properties>
</file>